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e4cb5e33c5b95186/Documents/ecole/WEB PAGES/Convoyeur/"/>
    </mc:Choice>
  </mc:AlternateContent>
  <xr:revisionPtr revIDLastSave="0" documentId="8_{2B22957D-A4C8-408E-8B3A-A9274B1354DE}" xr6:coauthVersionLast="47" xr6:coauthVersionMax="47" xr10:uidLastSave="{00000000-0000-0000-0000-000000000000}"/>
  <bookViews>
    <workbookView xWindow="3276" yWindow="3276" windowWidth="17280" windowHeight="8880" xr2:uid="{E16E2C94-098A-4DCA-A381-3C5B8406119A}"/>
  </bookViews>
  <sheets>
    <sheet name="Solu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1" l="1"/>
  <c r="I48" i="1"/>
  <c r="I44" i="1"/>
  <c r="I35" i="1"/>
  <c r="I34" i="1"/>
  <c r="I36" i="1"/>
  <c r="I33" i="1"/>
  <c r="I31" i="1"/>
  <c r="I32" i="1"/>
  <c r="I40" i="1"/>
  <c r="I46" i="1"/>
  <c r="I42" i="1"/>
  <c r="I39" i="1"/>
  <c r="I38" i="1"/>
  <c r="I41" i="1"/>
  <c r="I43" i="1"/>
  <c r="I27" i="1"/>
  <c r="I29" i="1"/>
  <c r="I30" i="1"/>
  <c r="I45" i="1"/>
  <c r="H10" i="1"/>
  <c r="I10" i="1" s="1"/>
  <c r="I23" i="1"/>
  <c r="I49" i="1"/>
  <c r="I47" i="1"/>
  <c r="I8" i="1"/>
  <c r="I24" i="1"/>
  <c r="I25" i="1"/>
  <c r="I6" i="1"/>
  <c r="I15" i="1"/>
  <c r="I4" i="1"/>
  <c r="I9" i="1"/>
  <c r="I17" i="1"/>
  <c r="I18" i="1"/>
  <c r="I20" i="1"/>
  <c r="I21" i="1"/>
  <c r="I22" i="1"/>
  <c r="I50" i="1"/>
  <c r="I3" i="1"/>
  <c r="I55" i="1" l="1"/>
  <c r="J57" i="1" s="1"/>
  <c r="I59" i="1" l="1"/>
</calcChain>
</file>

<file path=xl/sharedStrings.xml><?xml version="1.0" encoding="utf-8"?>
<sst xmlns="http://schemas.openxmlformats.org/spreadsheetml/2006/main" count="346" uniqueCount="132">
  <si>
    <t>Composant</t>
  </si>
  <si>
    <t>[Qte] 1</t>
  </si>
  <si>
    <t>-</t>
  </si>
  <si>
    <t>Matière</t>
  </si>
  <si>
    <t>Configuration</t>
  </si>
  <si>
    <t>|</t>
  </si>
  <si>
    <t>Prix unitaire</t>
  </si>
  <si>
    <t>Prix total</t>
  </si>
  <si>
    <t>Rec</t>
  </si>
  <si>
    <t>&gt;</t>
  </si>
  <si>
    <t>Référence</t>
  </si>
  <si>
    <t>Bande de caoutcouc</t>
  </si>
  <si>
    <t>Caoutchouc</t>
  </si>
  <si>
    <t>Longeur : 4000mm / Largeur : 100mm / Epaisseur : 2mm</t>
  </si>
  <si>
    <t>ok</t>
  </si>
  <si>
    <t>Rouleau Caoutchouc, Feuille de Caoutchouc, Caoutchouc sbr/Largeur 10cm x Longueur 4m, épaisseur 2mm /pour revetement de Sol, Protection Caoutchouc, Caoutchouc antidérapant, Dalles PVC Garage : Amazon.fr: Bricolage</t>
  </si>
  <si>
    <t>MDF</t>
  </si>
  <si>
    <t>Bois (MDF)</t>
  </si>
  <si>
    <t>Longeur : 800mm / Largeur : 600mm / Epaisseur : 10mm</t>
  </si>
  <si>
    <t>Prédécoupé médium (mdf) naturel, Ep.10 mm L.80 x l.60 cm | Leroy Merlin</t>
  </si>
  <si>
    <t>HDF</t>
  </si>
  <si>
    <t>Bois (HDF)</t>
  </si>
  <si>
    <t>Longeur : 800mm / Largeur : 600mm / Epaisseur : 5mm</t>
  </si>
  <si>
    <t>Panneau HDF 800 x 400 x 3 mm 1 face lisse 1 face non lisse - FSC mixte 70% | Leroy Merlin</t>
  </si>
  <si>
    <t>Tôle d'aluminium</t>
  </si>
  <si>
    <t>Aluminium</t>
  </si>
  <si>
    <t>Longeur : 1500mm / Largeur : 500mm / Epaisseur : 1mm</t>
  </si>
  <si>
    <t>https://www.leroidufer.fr/aluminium/4892-9697-plaque-aluminium-brut-5754-3701541742981.html#/97-epaisseur_en_mm-1_mm/152-longueur_en_cm-150_cm/154-largeur_en_cm-50_cm/158-dimension_de_la_plaque-standard</t>
  </si>
  <si>
    <r>
      <rPr>
        <b/>
        <sz val="7"/>
        <color theme="0"/>
        <rFont val="Aptos Narrow"/>
        <family val="2"/>
        <scheme val="minor"/>
      </rPr>
      <t xml:space="preserve">          </t>
    </r>
    <r>
      <rPr>
        <b/>
        <u/>
        <sz val="7"/>
        <color theme="0"/>
        <rFont val="Aptos Narrow"/>
        <family val="2"/>
        <scheme val="minor"/>
      </rPr>
      <t>Motorisation</t>
    </r>
  </si>
  <si>
    <t>Moteur électrique</t>
  </si>
  <si>
    <t>Axe de sortie diamètre 4 mm / En mode 130tr/min / 12V</t>
  </si>
  <si>
    <t>Moteur 12V à Engrenage en Métal HP 75:1 Avec Encodeur (48 CPR) - RobotShop</t>
  </si>
  <si>
    <t>Arbre de transmission</t>
  </si>
  <si>
    <t>BRUT : Diamètre : 30mm / Longueur : 215mm Minimum</t>
  </si>
  <si>
    <t>Barre ronde en aluminium sur-mesure</t>
  </si>
  <si>
    <t>Poulie</t>
  </si>
  <si>
    <t xml:space="preserve">     50 dents</t>
  </si>
  <si>
    <t>Largeur : 6mm / Diamètre : 15mm</t>
  </si>
  <si>
    <t>sourcing map Aluminium 50 dents 15 mm alésage courroie de distribution poulie de renvoi roue synchrone 6 mm ceinture pour imprimante 3D CNC : Amazon.fr: Commerce, Industrie et Science</t>
  </si>
  <si>
    <t xml:space="preserve">     20 dents</t>
  </si>
  <si>
    <t>Largeur : 6mm / Diamètre : 4mm</t>
  </si>
  <si>
    <t>sourcing map Aluminium 20 dents 4mm alésage courroie de distribution poulie folle bride roue synchrone pour 6mm ceinture imprimante 3D CNC : Amazon.fr: Commerce, Industrie et Science</t>
  </si>
  <si>
    <t xml:space="preserve">     Courroie de distribution</t>
  </si>
  <si>
    <t>Longeur : 200mm / Largeur : 6mm</t>
  </si>
  <si>
    <t>Courroie de distribution à boucle fermée haute résistance, pas de 2 mm, 6 mm de large, courroie en caoutchouc (400 mm) : Amazon.fr: Commerce, Industrie et Science</t>
  </si>
  <si>
    <r>
      <rPr>
        <b/>
        <sz val="7"/>
        <color theme="0"/>
        <rFont val="Aptos Narrow"/>
        <family val="2"/>
        <scheme val="minor"/>
      </rPr>
      <t xml:space="preserve">          </t>
    </r>
    <r>
      <rPr>
        <b/>
        <u/>
        <sz val="7"/>
        <color theme="0"/>
        <rFont val="Aptos Narrow"/>
        <family val="2"/>
        <scheme val="minor"/>
      </rPr>
      <t>Servo-moteur</t>
    </r>
  </si>
  <si>
    <t>Servo-moteur</t>
  </si>
  <si>
    <t>Métal</t>
  </si>
  <si>
    <t>2 Pièces</t>
  </si>
  <si>
    <t>Miuzei Servo numérique 25 kg Servo de direction étanche à haute torque engrenage métallique 270 ° Servo+moteur pour mini RC voiture 1/8 1/10 1/12 bateau avec corne 25T câble servo vis : Amazon.fr: Jeux et Jouets</t>
  </si>
  <si>
    <r>
      <rPr>
        <b/>
        <sz val="7"/>
        <color theme="0"/>
        <rFont val="Aptos Narrow"/>
        <family val="2"/>
        <scheme val="minor"/>
      </rPr>
      <t xml:space="preserve">          </t>
    </r>
    <r>
      <rPr>
        <b/>
        <u/>
        <sz val="7"/>
        <color theme="0"/>
        <rFont val="Aptos Narrow"/>
        <family val="2"/>
        <scheme val="minor"/>
      </rPr>
      <t>Profilés avec rainure</t>
    </r>
  </si>
  <si>
    <t>Profilé carré avec rainure (40x40) L = 2000m</t>
  </si>
  <si>
    <t>2000mm</t>
  </si>
  <si>
    <t>Profilé en aluminium de 40 x 40 mm avec rainures de 8 mm de type I : Amazon.fr: Commerce, Industrie et Science</t>
  </si>
  <si>
    <t>Profilé carré avec rainure (40x40) L = 800m</t>
  </si>
  <si>
    <t>800mm</t>
  </si>
  <si>
    <r>
      <rPr>
        <b/>
        <sz val="7"/>
        <color theme="0"/>
        <rFont val="Aptos Narrow"/>
        <family val="2"/>
        <scheme val="minor"/>
      </rPr>
      <t xml:space="preserve">          </t>
    </r>
    <r>
      <rPr>
        <b/>
        <u/>
        <sz val="7"/>
        <color theme="0"/>
        <rFont val="Aptos Narrow"/>
        <family val="2"/>
        <scheme val="minor"/>
      </rPr>
      <t>Equipements</t>
    </r>
  </si>
  <si>
    <t>Jeu de 4 roulettes pivotantes</t>
  </si>
  <si>
    <t>Polyoléfine, Acier, Caoutchouc</t>
  </si>
  <si>
    <t>4 pièces</t>
  </si>
  <si>
    <t>HOLKIE Roulettes pour meubles 75 mm avec freins, M10 x 1,5 x 30 mm Lot de 4 roulettes pivotantes à tige filetée - Roulettes charge lourde verrouillables Gris : Amazon.fr: Commerce, Industrie et Science</t>
  </si>
  <si>
    <t>Fixation angulaire</t>
  </si>
  <si>
    <t>10 pièces</t>
  </si>
  <si>
    <t>10 × Matériel de Fixation Angulaire 40x40 &amp; 40x80 Rainure 8 Entretoises de Grille Profil en Aluminium : Amazon.fr: Bricolage</t>
  </si>
  <si>
    <t>Tige fileté M8</t>
  </si>
  <si>
    <t>Acier</t>
  </si>
  <si>
    <t>2 pièces / M8 / Longueur : 300mm</t>
  </si>
  <si>
    <t>Lot de 2 Tiges Filetées M8 X 300 MM, Tige Filetée, Tige Filetée M8, Filetage Intérieur Métrique, En Acier Galvanisé, Convient Aux Installations Intérieures, Aux Navires, Aux Balustrades En Fer : Amazon.fr: Bricolage</t>
  </si>
  <si>
    <t>Tige fileté M6</t>
  </si>
  <si>
    <t>2 pièces / M6 / Longueur : 150mm</t>
  </si>
  <si>
    <t>sourcing map 2Pcs M6 x 150mm Tige Filetée Entièrement 304 Inox Acier Droite Main Fil : Amazon.fr: Bricolage</t>
  </si>
  <si>
    <t>Roulement à billes</t>
  </si>
  <si>
    <t>Zinc</t>
  </si>
  <si>
    <t>4 pièces / Diamètre intérieur : 20mm</t>
  </si>
  <si>
    <t>yotutun Palier Roulement, 4 Pièces 20 mm Roulement avec Support Roulements de Bloc D'oreiller Roulements Alliage de Zinc Roulements a Billes Bride pour Industrie Machine à Arbre d'Axe : Amazon.fr: Commerce, Industrie et Science</t>
  </si>
  <si>
    <t>Roulette de transfert</t>
  </si>
  <si>
    <t>12 pièces / Diamètre : 15,88mm</t>
  </si>
  <si>
    <t>CODIRATO 12 PCS Roulettes de Transfert avec Roulement à Billes Universels en Acier au Carbone Galvanisé Unité Roulettes à Billes Montées Charge Lourde pour Emballage Transmission Transpore Industrie : Amazon.fr: Bricolage</t>
  </si>
  <si>
    <r>
      <rPr>
        <b/>
        <sz val="7"/>
        <color theme="0"/>
        <rFont val="Aptos Narrow"/>
        <family val="2"/>
        <scheme val="minor"/>
      </rPr>
      <t xml:space="preserve">          </t>
    </r>
    <r>
      <rPr>
        <b/>
        <u/>
        <sz val="7"/>
        <color theme="0"/>
        <rFont val="Aptos Narrow"/>
        <family val="2"/>
        <scheme val="minor"/>
      </rPr>
      <t>Transformateur</t>
    </r>
  </si>
  <si>
    <t>Transformateur</t>
  </si>
  <si>
    <t>220V vers 12V / 63vA</t>
  </si>
  <si>
    <t>Transfo 12V monophasé linéaire - ABL Transfo</t>
  </si>
  <si>
    <r>
      <rPr>
        <b/>
        <sz val="7"/>
        <color theme="0"/>
        <rFont val="Aptos Narrow"/>
        <family val="2"/>
        <scheme val="minor"/>
      </rPr>
      <t xml:space="preserve">          </t>
    </r>
    <r>
      <rPr>
        <b/>
        <u/>
        <sz val="7"/>
        <color theme="0"/>
        <rFont val="Aptos Narrow"/>
        <family val="2"/>
        <scheme val="minor"/>
      </rPr>
      <t>Electronique</t>
    </r>
  </si>
  <si>
    <t>Détecteur non-ferreux</t>
  </si>
  <si>
    <t>Capteur inductif M30 - 24VDC - PNP - NO - Sn 15mm - IP67 - IMO</t>
  </si>
  <si>
    <t>Détecteu de présence</t>
  </si>
  <si>
    <t>Module de détection US HC-SR04 - Gotronic</t>
  </si>
  <si>
    <t>Controleur Rasberry Pi 5 8Go RAM</t>
  </si>
  <si>
    <t>Ecran IHM</t>
  </si>
  <si>
    <t>Rasberry Pi shield - Ecran LCD tactile, 7", 720x280 pixels</t>
  </si>
  <si>
    <t>ESP32</t>
  </si>
  <si>
    <t>Driver</t>
  </si>
  <si>
    <t>Driver L9110 pour moteur CC</t>
  </si>
  <si>
    <t>Carte PCB (HAT Custome)</t>
  </si>
  <si>
    <t>Connecteur (câbles)</t>
  </si>
  <si>
    <t>Longueur : 1000mm</t>
  </si>
  <si>
    <r>
      <rPr>
        <b/>
        <sz val="7"/>
        <color theme="0"/>
        <rFont val="Aptos Narrow"/>
        <family val="2"/>
        <scheme val="minor"/>
      </rPr>
      <t xml:space="preserve">          </t>
    </r>
    <r>
      <rPr>
        <b/>
        <u/>
        <sz val="7"/>
        <color theme="0"/>
        <rFont val="Aptos Narrow"/>
        <family val="2"/>
        <scheme val="minor"/>
      </rPr>
      <t>Consommables</t>
    </r>
  </si>
  <si>
    <t>Ecrou à rainure M8</t>
  </si>
  <si>
    <t>50 pièces / M8</t>
  </si>
  <si>
    <t>alwaiiz Lot de 50 pierres à rainure à bille 6, série 20 M3 en acier au carbone - Écrou coulissant en T avec barre de centrage pour fente d'extrusion de profilé en aluminium (2020 M3) : Amazon.fr: Bricolage</t>
  </si>
  <si>
    <t>Vis M10 x 15</t>
  </si>
  <si>
    <t>Inox A2</t>
  </si>
  <si>
    <t>M10 x 20</t>
  </si>
  <si>
    <t>Achat Vis à Tête Cylindrique Hexagonale Creuse Inox A2 Filetage Total DIN 912 | Bricovis</t>
  </si>
  <si>
    <t>Vis M8 x 15</t>
  </si>
  <si>
    <t>M8 x 20</t>
  </si>
  <si>
    <t>Vis plate M3 x 10</t>
  </si>
  <si>
    <t>M3 x 10 / Tête bombée</t>
  </si>
  <si>
    <t>Achat Vis à Tête Bombée Hexagonale Creuse Inox A2 ISO 7380 | Bricovis</t>
  </si>
  <si>
    <t>Ecrou M10</t>
  </si>
  <si>
    <t>M10</t>
  </si>
  <si>
    <t>Achat Écrou Hu Inox A2 DIN 934 | Bricovis</t>
  </si>
  <si>
    <t>Ecrou M8</t>
  </si>
  <si>
    <t>M8</t>
  </si>
  <si>
    <t>Ecrou M6</t>
  </si>
  <si>
    <t>M6</t>
  </si>
  <si>
    <t>Ecrou M3</t>
  </si>
  <si>
    <t>M3</t>
  </si>
  <si>
    <t>Rondelle M10</t>
  </si>
  <si>
    <t>M10 / Type "M"</t>
  </si>
  <si>
    <t>Achat Rondelle "M" Inox A2 NFE 25513 | Bricovis</t>
  </si>
  <si>
    <t>Rondelle M8</t>
  </si>
  <si>
    <t>M8 / Type "M"</t>
  </si>
  <si>
    <t>Rondelle M6</t>
  </si>
  <si>
    <t>M6 / Type "M"</t>
  </si>
  <si>
    <t>Rondelle M3</t>
  </si>
  <si>
    <t>M3 / Type "M"</t>
  </si>
  <si>
    <t>Cadeau pour Matthieu</t>
  </si>
  <si>
    <t>TOTAL</t>
  </si>
  <si>
    <t>ENVELOPPE</t>
  </si>
  <si>
    <t>Objectif</t>
  </si>
  <si>
    <r>
      <t>TOTAL</t>
    </r>
    <r>
      <rPr>
        <b/>
        <sz val="7"/>
        <color theme="0"/>
        <rFont val="3ds Light"/>
      </rPr>
      <t xml:space="preserve"> +15%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</si>
</sst>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9">
    <font>
      <sz val="11"/>
      <color theme="1"/>
      <name val="Aptos Narrow"/>
      <family val="2"/>
      <scheme val="minor"/>
    </font>
    <font>
      <sz val="11"/>
      <color theme="1"/>
      <name val="3ds Light"/>
    </font>
    <font>
      <sz val="10"/>
      <color theme="1"/>
      <name val="3ds Light"/>
    </font>
    <font>
      <b/>
      <sz val="10"/>
      <color theme="0"/>
      <name val="3ds Light"/>
    </font>
    <font>
      <sz val="7"/>
      <color theme="1"/>
      <name val="Aptos Narrow"/>
      <family val="2"/>
      <scheme val="minor"/>
    </font>
    <font>
      <sz val="7"/>
      <color theme="1"/>
      <name val="3ds Light"/>
    </font>
    <font>
      <u/>
      <sz val="11"/>
      <color theme="10"/>
      <name val="Aptos Narrow"/>
      <family val="2"/>
      <scheme val="minor"/>
    </font>
    <font>
      <u/>
      <sz val="7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7"/>
      <color theme="0"/>
      <name val="3ds Light"/>
    </font>
    <font>
      <b/>
      <sz val="7"/>
      <color theme="1"/>
      <name val="3ds Light"/>
    </font>
    <font>
      <b/>
      <sz val="11"/>
      <color theme="1"/>
      <name val="Aptos Narrow"/>
      <family val="2"/>
      <scheme val="minor"/>
    </font>
    <font>
      <i/>
      <sz val="7"/>
      <color theme="1"/>
      <name val="Aptos Narrow"/>
      <family val="2"/>
      <scheme val="minor"/>
    </font>
    <font>
      <b/>
      <sz val="11"/>
      <color theme="1"/>
      <name val="3ds Light"/>
    </font>
    <font>
      <b/>
      <u/>
      <sz val="7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u/>
      <sz val="7"/>
      <color theme="3" tint="0.249977111117893"/>
      <name val="Aptos Narrow"/>
      <family val="2"/>
      <scheme val="minor"/>
    </font>
    <font>
      <u/>
      <sz val="7"/>
      <color rgb="FF0070C0"/>
      <name val="3ds Light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9" fontId="8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" fillId="3" borderId="0" xfId="0" applyFont="1" applyFill="1"/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7" fillId="0" borderId="0" xfId="1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9" fontId="10" fillId="0" borderId="1" xfId="2" applyFont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4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164" fontId="4" fillId="4" borderId="0" xfId="0" applyNumberFormat="1" applyFont="1" applyFill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164" fontId="12" fillId="0" borderId="0" xfId="0" applyNumberFormat="1" applyFont="1" applyAlignment="1">
      <alignment horizontal="right" vertical="center"/>
    </xf>
    <xf numFmtId="0" fontId="13" fillId="3" borderId="0" xfId="0" applyFont="1" applyFill="1"/>
    <xf numFmtId="0" fontId="11" fillId="0" borderId="0" xfId="0" applyFont="1"/>
    <xf numFmtId="0" fontId="14" fillId="5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 wrapText="1"/>
    </xf>
    <xf numFmtId="164" fontId="15" fillId="5" borderId="0" xfId="0" applyNumberFormat="1" applyFont="1" applyFill="1" applyAlignment="1">
      <alignment horizontal="right" vertical="center"/>
    </xf>
    <xf numFmtId="164" fontId="15" fillId="5" borderId="0" xfId="0" applyNumberFormat="1" applyFont="1" applyFill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/>
    </xf>
    <xf numFmtId="0" fontId="16" fillId="0" borderId="0" xfId="1" applyFont="1" applyAlignment="1">
      <alignment vertical="center"/>
    </xf>
    <xf numFmtId="0" fontId="7" fillId="0" borderId="0" xfId="1" applyFont="1" applyAlignment="1">
      <alignment vertical="center" wrapText="1"/>
    </xf>
    <xf numFmtId="0" fontId="17" fillId="3" borderId="0" xfId="0" applyFont="1" applyFill="1" applyAlignment="1">
      <alignment horizontal="left" vertical="center"/>
    </xf>
    <xf numFmtId="0" fontId="4" fillId="0" borderId="0" xfId="1" applyFont="1" applyAlignment="1">
      <alignment horizontal="left" vertical="center"/>
    </xf>
    <xf numFmtId="164" fontId="12" fillId="0" borderId="0" xfId="0" applyNumberFormat="1" applyFont="1" applyAlignment="1">
      <alignment horizontal="center" vertical="center"/>
    </xf>
    <xf numFmtId="0" fontId="7" fillId="4" borderId="0" xfId="1" applyFont="1" applyFill="1" applyAlignment="1">
      <alignment vertical="center"/>
    </xf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 wrapText="1"/>
    </xf>
    <xf numFmtId="164" fontId="4" fillId="6" borderId="0" xfId="0" applyNumberFormat="1" applyFont="1" applyFill="1" applyAlignment="1">
      <alignment horizontal="right" vertical="center"/>
    </xf>
    <xf numFmtId="164" fontId="4" fillId="6" borderId="0" xfId="0" applyNumberFormat="1" applyFont="1" applyFill="1" applyAlignment="1">
      <alignment horizontal="center" vertical="center"/>
    </xf>
  </cellXfs>
  <cellStyles count="3">
    <cellStyle name="Lien hypertexte" xfId="1" builtinId="8"/>
    <cellStyle name="Normal" xfId="0" builtinId="0"/>
    <cellStyle name="Pourcentage" xfId="2" builtinId="5"/>
  </cellStyles>
  <dxfs count="13">
    <dxf>
      <font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4" formatCode="#,##0.00\ &quot;€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4" formatCode="#,##0.00\ &quot;€&quot;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numFmt numFmtId="164" formatCode="#,##0.00\ &quot;€&quot;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7"/>
        <color theme="1"/>
        <name val="Aptos Narrow"/>
        <family val="2"/>
        <scheme val="minor"/>
      </font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3ds Light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493AFA-1393-4DD3-A622-C7BD52C74DB6}" name="Tableau1" displayName="Tableau1" ref="B2:L51" totalsRowShown="0" headerRowDxfId="12" dataDxfId="11">
  <autoFilter ref="B2:L51" xr:uid="{2F493AFA-1393-4DD3-A622-C7BD52C74DB6}"/>
  <tableColumns count="11">
    <tableColumn id="1" xr3:uid="{E3CCA13F-7ACF-4A09-AF81-1B192BFEEDA1}" name="Composant" dataDxfId="10"/>
    <tableColumn id="2" xr3:uid="{B3738048-55D9-4E43-9EF1-6EE58B009823}" name="[Qte] 1" dataDxfId="9"/>
    <tableColumn id="3" xr3:uid="{4BE0B262-8400-4824-A467-3EA0261CD91D}" name="-" dataDxfId="8"/>
    <tableColumn id="4" xr3:uid="{A6AB58A9-4C6C-44BF-A427-068FDBA20CC6}" name="Matière" dataDxfId="7"/>
    <tableColumn id="5" xr3:uid="{5E3BC279-0E21-4320-BAFA-CE5DE5BCBC35}" name="Configuration" dataDxfId="6"/>
    <tableColumn id="6" xr3:uid="{96A41B50-9BAC-4A57-A9B6-7BD6E2069E0E}" name="|" dataDxfId="5"/>
    <tableColumn id="7" xr3:uid="{96D3B773-3802-4998-A332-4964B794F56C}" name="Prix unitaire" dataDxfId="4"/>
    <tableColumn id="9" xr3:uid="{406DEE9F-FCC7-43EC-A302-E43601135DAE}" name="Prix total" dataDxfId="3">
      <calculatedColumnFormula>H3*C3</calculatedColumnFormula>
    </tableColumn>
    <tableColumn id="10" xr3:uid="{B99E01C4-C3B1-40C2-98C2-824A64C44A9A}" name="Rec" dataDxfId="2"/>
    <tableColumn id="8" xr3:uid="{01E32F50-8711-4B53-8781-A4D87C8DC25F}" name="&gt;" dataDxfId="1"/>
    <tableColumn id="11" xr3:uid="{9B2EF448-2DE9-472F-991F-FDBE5B52F4A9}" name="Référenc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u.robotshop.com/fr/products/moteur-12v-engrenage-en-metal-hp-751-encodeur-48-cpr?gad_source=1&amp;gclid=CjwKCAiAjeW6BhBAEiwAdKltMgZKYYdwgeXhnSpzUfJJcSqpbnk8GcHf80-XNQ7fL0BYOX0i9jNNbBoCMTgQAvD_BwE" TargetMode="External"/><Relationship Id="rId18" Type="http://schemas.openxmlformats.org/officeDocument/2006/relationships/hyperlink" Target="https://www.abltransfo.com/produit/transfo-12v/" TargetMode="External"/><Relationship Id="rId26" Type="http://schemas.openxmlformats.org/officeDocument/2006/relationships/hyperlink" Target="https://www.bricovis.fr/produit-ecrou-hu-inox-a2-din-934-ecrhua2/" TargetMode="External"/><Relationship Id="rId3" Type="http://schemas.openxmlformats.org/officeDocument/2006/relationships/hyperlink" Target="https://www.amazon.fr/caoutchouc-%C3%A9paisseur-revetement-protection-antid%C3%A9rapant/dp/B0BKT16R1V/ref=sr_1_6?__mk_fr_FR=%C3%85M%C3%85%C5%BD%C3%95%C3%91&amp;crid=26Z0D2J2RLG88&amp;dib=eyJ2IjoiMSJ9.ii6BPMqw1qcbbyMe8916ZnilAIfzeY0uL2YWGO4PWuK6EyyvpbRVZ2OEqtwq5P-2DGul5fif6PNbR_MTMsAt2jySMBx2pkkdIhuWsUToDVdz_tMn4EF6iGVNKFCVMBC5fmypscza0UG_YO4vxNEuhGATqJm8iNtHMEdZMzWdTBEnCH3N78LWmwC7vvolCZ8GGyt4ySV72FgQhyb83Suk5RxVVh8HAq0CDIq_Z60guCN46Ix2oyV-8u6C9eNa_XKYihWz-GiM9HXrLMfoz1Db6czLgM7poymNY7TKIkHmCiM.juBd49XG8q8avfe8f5NvGfoDZNnXJUe71JUYS235ZW4&amp;dib_tag=se&amp;keywords=bande%2Bde%2Bcaoutchouc%2B4m&amp;qid=1730298779&amp;sprefix=bande%2Bde%2Bcaoutchouc%2B4m%2Caps%2C71&amp;sr=8-6&amp;th=1" TargetMode="External"/><Relationship Id="rId21" Type="http://schemas.openxmlformats.org/officeDocument/2006/relationships/hyperlink" Target="https://metal-mesure.com/barres-en-alu/49-barre-ronde-en-alu-sur-mesure.html" TargetMode="External"/><Relationship Id="rId34" Type="http://schemas.openxmlformats.org/officeDocument/2006/relationships/hyperlink" Target="https://www.bricovis.fr/produit-rondelle-m-inox-a2-nfe-25513-ronma2/" TargetMode="External"/><Relationship Id="rId7" Type="http://schemas.openxmlformats.org/officeDocument/2006/relationships/hyperlink" Target="https://www.amazon.fr/10-Mat%C3%A9riel-Angulaire-Entretoises-Aluminium/dp/B07N69WGKR/ref=pd_bxgy_thbs_d_sccl_1/262-1582292-3228214?pd_rd_w=HpjvE&amp;content-id=amzn1.sym.a31ed743-a043-4c2b-8307-7c413395ed20&amp;pf_rd_p=a31ed743-a043-4c2b-8307-7c413395ed20&amp;pf_rd_r=Z3SZEY798ZA9XWY318NP&amp;pd_rd_wg=0AOi4&amp;pd_rd_r=ead720f6-e142-4f80-a7b5-86fd2b8e48d3&amp;pd_rd_i=B07N69WGKR&amp;th=1" TargetMode="External"/><Relationship Id="rId12" Type="http://schemas.openxmlformats.org/officeDocument/2006/relationships/hyperlink" Target="https://www.amazon.fr/CODIRATO-Roulettes-Transfert-Universels-Transmission/dp/B09XDNCL2L/ref=sr_1_7?__mk_fr_FR=%C3%85M%C3%85%C5%BD%C3%95%C3%91&amp;crid=4OK0YLL437RG&amp;dib=eyJ2IjoiMSJ9.9wDDKuHsiPZPvOEGnhRMfNU7oJ8dQmAq-wFMgcS6SBcF3peqdahJMdC59LtpH8qsU9d_DYAiisjM4aM33wKGz44bfj5-FSSoJhTAkibisIqzAxI62xEvQrxFknMC2QY8owDED58AfdeeJVs7AxLKQJK4JWG3jzntc8zZfUK-MndM4GZ4toUJMuJM8w3zJJW98jdpawOmrOWIwEp0kxF8R4BmSFKl9fTcc7Qdga_wfXAY5ehG0IaCUdwfS1hp97Rk0amGpwWv1v3cx5AAMRaVCE2Y7Qv7K-slf7Z8I3_gmoc.38P_7cVdClwAE3aasWFZNlXPKGOFxiZwlRlxQBIHe-4&amp;dib_tag=se&amp;keywords=roulettes%2Bconvoyeur&amp;nsdOptOutParam=true&amp;qid=1732005926&amp;sprefix=roulettes%2Bconvoyeur%2Caps%2C75&amp;sr=8-7&amp;th=1" TargetMode="External"/><Relationship Id="rId17" Type="http://schemas.openxmlformats.org/officeDocument/2006/relationships/hyperlink" Target="https://www.gotronic.fr/art-module-de-detection-us-hc-sr04-20912.htm" TargetMode="External"/><Relationship Id="rId25" Type="http://schemas.openxmlformats.org/officeDocument/2006/relationships/hyperlink" Target="https://www.bricovis.fr/produit-vis-a-tete-bombee-hexagonale-creuse-inox-a2-iso-7380-tbhca2/" TargetMode="External"/><Relationship Id="rId33" Type="http://schemas.openxmlformats.org/officeDocument/2006/relationships/hyperlink" Target="https://www.bricovis.fr/produit-ecrou-hu-inox-a2-din-934-ecrhua2/" TargetMode="External"/><Relationship Id="rId2" Type="http://schemas.openxmlformats.org/officeDocument/2006/relationships/hyperlink" Target="https://www.amazon.fr/Profil%C3%A9-aluminium-avec-rainures-type/dp/B0751CTQ3Y/ref=sr_1_9?__mk_fr_FR=%C3%85M%C3%85%C5%BD%C3%95%C3%91&amp;crid=1U32K6U0BT1DX&amp;dib=eyJ2IjoiMSJ9.wJ9ntlnIZnPFCtozMc9QUAVJGqgg6O_363_TqMIyldW5mevjYULk5sjEpLdVkPkw4sHWVdOgiaNFtkRw1-UBT8mXpus4ddAcHeVIW-eyOXC9f4P93HdpOXEeocnmjp6CvsXUvHbV-VK6ePpD3nG4U0sTX8PfHh7pDOxmCX4X1LHwGwJGBaCZysNkmKvkj3LrpP58iTdHMWM29gS6RTIAMqFha7zmN1S_az0r0Zdh8H2S_-f9QyKKKeqV1t8TJT2MlWZPZ3nLW_kIBjRnHVtowgjj23f9GO-QzqR-Stiomho.S1mQ8kPrLpYLcYdy9K3gGI9nXeALru6xLhJ94QvCzK8&amp;dib_tag=se&amp;keywords=profil%C3%A9%2Baluminium%2Bavec%2Brainure&amp;qid=1729876635&amp;s=industrial&amp;sprefix=profil%C3%A9%2Baluminium%2Bavec%2Brainure%2Cindustrial%2C68&amp;sr=1-9&amp;th=1" TargetMode="External"/><Relationship Id="rId16" Type="http://schemas.openxmlformats.org/officeDocument/2006/relationships/hyperlink" Target="https://www.em-distribution.fr/capteur-inductif-de-proximite/5280-capteur-inductif-m30-24vdc-pnp-15mm-m12-imo.html" TargetMode="External"/><Relationship Id="rId20" Type="http://schemas.openxmlformats.org/officeDocument/2006/relationships/hyperlink" Target="https://www.leroidufer.fr/aluminium/4892-9697-plaque-aluminium-brut-5754-3701541742981.html" TargetMode="External"/><Relationship Id="rId29" Type="http://schemas.openxmlformats.org/officeDocument/2006/relationships/hyperlink" Target="https://www.bricovis.fr/produit-rondelle-m-inox-a2-nfe-25513-ronma2/" TargetMode="External"/><Relationship Id="rId1" Type="http://schemas.openxmlformats.org/officeDocument/2006/relationships/hyperlink" Target="https://www.amazon.fr/Profil%C3%A9-aluminium-avec-rainures-type/dp/B0751CTQ3Y/ref=sr_1_9?__mk_fr_FR=%C3%85M%C3%85%C5%BD%C3%95%C3%91&amp;crid=1U32K6U0BT1DX&amp;dib=eyJ2IjoiMSJ9.wJ9ntlnIZnPFCtozMc9QUAVJGqgg6O_363_TqMIyldW5mevjYULk5sjEpLdVkPkw4sHWVdOgiaNFtkRw1-UBT8mXpus4ddAcHeVIW-eyOXC9f4P93HdpOXEeocnmjp6CvsXUvHbV-VK6ePpD3nG4U0sTX8PfHh7pDOxmCX4X1LHwGwJGBaCZysNkmKvkj3LrpP58iTdHMWM29gS6RTIAMqFha7zmN1S_az0r0Zdh8H2S_-f9QyKKKeqV1t8TJT2MlWZPZ3nLW_kIBjRnHVtowgjj23f9GO-QzqR-Stiomho.S1mQ8kPrLpYLcYdy9K3gGI9nXeALru6xLhJ94QvCzK8&amp;dib_tag=se&amp;keywords=profil%C3%A9%2Baluminium%2Bavec%2Brainure&amp;qid=1729876635&amp;s=industrial&amp;sprefix=profil%C3%A9%2Baluminium%2Bavec%2Brainure%2Cindustrial%2C68&amp;sr=1-9&amp;th=1" TargetMode="External"/><Relationship Id="rId6" Type="http://schemas.openxmlformats.org/officeDocument/2006/relationships/hyperlink" Target="https://www.amazon.fr/HOLKIE-roulettes-pivotantes-filet%C3%A9e-freins/dp/B09YYK16H8/ref=sr_1_24?dib=eyJ2IjoiMSJ9.VqZaNbd6lKUm6cnp7wEt_0-mdblN9b889uCZEpYEQcGJ7nhseMd9R9d_gPVlN0rhb_sfXBL5R1MMKlarh5olXTdiADPfMMabfJ0xi5_ndbarg8r8jvqeNjdV6xiOcZZJfzWMLseU_A1JI0G50vBGAQIu1i_C2P3aP_cDyjLtE3-GVltdIqsDJpLsr3HrEN6WqiQhmDkrFh9uZcgLbWK8mLRfuah6h1kG5OSuLGx62m-hqd8sU0w97sriNNPfovYPmLKgN5ORBTuLDlDagmjw4DJ-yRVirgKF3LEaFJddpwU.ttNGjSAaOkJc9sUz2UNjFlD2y-XlAAzrOYynbfnJ_t8&amp;dib_tag=se&amp;keywords=Jeu+de+4+roulettes+pivotantes&amp;qid=1730321520&amp;sr=8-24" TargetMode="External"/><Relationship Id="rId11" Type="http://schemas.openxmlformats.org/officeDocument/2006/relationships/hyperlink" Target="https://www.amazon.fr/dp/B0CXDRSCZX/ref=sspa_dk_detail_1?psc=1&amp;pf_rd_p=d15aafde-9691-4d5f-85f2-056701d026bf&amp;pf_rd_r=GJZ8ZWR6TASRPJDEK5GK&amp;pd_rd_wg=O36j2&amp;pd_rd_w=02oCr&amp;content-id=amzn1.sym.d15aafde-9691-4d5f-85f2-056701d026bf&amp;pd_rd_r=a5acf9fb-889b-4bb9-892c-600fab736726&amp;s=industrial&amp;sp_csd=d2lkZ2V0TmFtZT1zcF9kZXRhaWw" TargetMode="External"/><Relationship Id="rId24" Type="http://schemas.openxmlformats.org/officeDocument/2006/relationships/hyperlink" Target="https://www.bricovis.fr/produit-vis-a-tete-cylindrique-hexagonale-creuse-inox-a2-filetage-total-din-912-tchca2ef/" TargetMode="External"/><Relationship Id="rId32" Type="http://schemas.openxmlformats.org/officeDocument/2006/relationships/hyperlink" Target="https://www.robot-maker.com/shop/drivers-d-actionneurs/56-driver-moteurs-cc-l9110-56.html" TargetMode="External"/><Relationship Id="rId5" Type="http://schemas.openxmlformats.org/officeDocument/2006/relationships/hyperlink" Target="https://www.amazon.fr/Courroie-distribution-r%C3%A9sistance-courroie-caoutchouc/dp/B0D9KHTCC5/ref=sr_1_16?__mk_fr_FR=%C3%85M%C3%85%C5%BD%C3%95%C3%91&amp;crid=3S3LQ7Q5RF9QL&amp;dib=eyJ2IjoiMSJ9.FG1r0THrSWeYULVnwLJBPtiAcupTHQ_IktufstDJC5X2CyX_h4C0CLXzgn-iqYo-mnzUe4QbwUFslDr4BRX_BAB8G2Lr0oEfX29e-eFxrFKRDsZo_k1C3pjQuRY9aD9483M4rn8ZqqPHTYUC0nTDhOcSUCFXMALu9swaLarQJ_SM8MVQKcuZBWy9R0nsrdk61b5RbyiwY4I5jSbFDCEDN1W5YRn4nPt4cEzAJCXBpqOOyisZPEd4UFrd--neU5HzTUBLIOX_hyYWQEsCaxm3ahmcFUj1gPsmO6lMITw4I7E.Si1A-vO4-35N-Nz73LwX1IP_Xc515DAbaRqlwZlvPKs&amp;dib_tag=se&amp;keywords=Courroie%2Bde%2Bdistribution%2Ben%2Bcaoutchouc%2B6mm%2Bde%2Blarge&amp;qid=1730319894&amp;s=industrial&amp;sprefix=courroie%2Bde%2Bdistribution%2Ben%2Bcaoutchouc%2B6mm%2Bde%2Blarge%2Cindustrial%2C61&amp;sr=1-16&amp;th=1" TargetMode="External"/><Relationship Id="rId15" Type="http://schemas.openxmlformats.org/officeDocument/2006/relationships/hyperlink" Target="https://www.amazon.fr/sourcing-map-aluminium-courroie-synchrone/dp/B0747D5VSG/ref=sr_1_3_mod_primary_new?__mk_fr_FR=%C3%85M%C3%85%C5%BD%C3%95%C3%91&amp;crid=O4X2Z3BVVX3A&amp;dib=eyJ2IjoiMSJ9.nHiPt-NaYW5u9oIAaNMeINA0gFFj97E1qZzvd9kquh3BktvK60jKeDssfYZI8PVPiBoN2rRbuMkoBfdGztCszueGOevjO8bLXbRbolLlhtx66wGP8XahfmkQQjeX7t8IgfrRk8EPQyC_1AmTDT564Qu8BCjIksRf72UwJvkN1L_0HwjcyRk1FyYtBQoQW6XtvlKY_ulI-O9LPYjKOtf_n1qgK2pIe4YzgYXVCs2iV6pPlwEBP9oadsd9QTy5TQqIB0VqW471bSeja-GEsFO9PSqAiBUt6V0_0EG1zfk_NGXx6rggUyuiOewzglyYJ7reaXqO7i-KVxiGh6MJ3KFFsd6jAgJq4k4tZl-tF8fMd39_p5_HwCB7pQ9AY2MeURYSL30T8PrqREk17vV54u14q_vZqGyeQ4yFuqCzzOZez030AnP2D6ay72XBHpycbWmY.fFcAhgr8XHRGTH61H25h3PA66RsreaI59pOLQQmByPo&amp;dib_tag=se&amp;keywords=Poulie+de+distribution+en+aluminium+al%C3%A9sage+de+4mm&amp;nsdOptOutParam=true&amp;qid=1734281814&amp;sbo=RZvfv%2F%2FHxDF%2BO5021pAnSA%3D%3D&amp;sprefix=poulie+de+distribution+en+aluminium+al%C3%A9sage+de+4mm%2Caps%2C72&amp;sr=8-3" TargetMode="External"/><Relationship Id="rId23" Type="http://schemas.openxmlformats.org/officeDocument/2006/relationships/hyperlink" Target="https://www.bricovis.fr/produit-vis-a-tete-cylindrique-hexagonale-creuse-inox-a2-filetage-total-din-912-tchca2ef/" TargetMode="External"/><Relationship Id="rId28" Type="http://schemas.openxmlformats.org/officeDocument/2006/relationships/hyperlink" Target="https://www.bricovis.fr/produit-ecrou-hu-inox-a2-din-934-ecrhua2/" TargetMode="External"/><Relationship Id="rId36" Type="http://schemas.openxmlformats.org/officeDocument/2006/relationships/table" Target="../tables/table1.xml"/><Relationship Id="rId10" Type="http://schemas.openxmlformats.org/officeDocument/2006/relationships/hyperlink" Target="https://www.amazon.fr/Miuzei-num%C3%A9rique-direction-engrenage-m%C3%A9tallique/dp/B0BZ4L839R/ref=sr_1_10?__mk_fr_FR=%C3%85M%C3%85%C5%BD%C3%95%C3%91&amp;crid=1QMCD9XHAP8QX&amp;dib=eyJ2IjoiMSJ9.eW0uMicdyzmhOWts-UB4ydNg-6ZGlRRHnpRdvMPDe6ck5QeY3MCPkyxsABKKV3-BEKjHA94y5d78eN6p_pUqOXXSWxxpygiQs2xykGVHZ7BQVP49kmav_bNXJMxLBFbIOqhC-pzmspdTNtQ5c3-PgtS7dZ3bNKuCydwU3q5_hRwVqshitwo9sBuI_Hy-t-tyH6OH9RLD3_K5NayMevXP_vvxeRM2Fn8CwJGfkhB_aJTzxraFGWhUGEbhDamOZ3vk9uGPAmfKK0SC4yK2AJCeR-LPLyncJ9IGz-zJ7-Ru83U.nYuy8o8QDv7RyhX5JycJATKeJNB-yWhVn94HNEm2cEg&amp;dib_tag=se&amp;keywords=Servomoteur&amp;qid=1731174867&amp;sprefix=servomoteur%2Caps%2C186&amp;sr=8-10&amp;th=1" TargetMode="External"/><Relationship Id="rId19" Type="http://schemas.openxmlformats.org/officeDocument/2006/relationships/hyperlink" Target="https://www.leroymerlin.fr/produits/menuiserie/panneau-planche-et-materiaux-bois/panneau-bois-agglomere-mdf/panneau-mdf/panneau-hdf-800-x-400-x-3-mm-1-face-lisse-1-face-non-lisse-fsc-mixte-70-88105328.html?Megaboost&amp;at_medium=Sea-Paid&amp;at_campaign=MT-02-MENUISERIE-PMAX-SHP-PLA-Tier2-3P&amp;at_source=google&amp;at_market=M3&amp;at_section=R2&amp;at_campaign_id=20490834385&amp;at_campaign_type=PMAX&amp;at_campaign_sub_type=PLA&amp;at_account=FIL-ROUGE-SHOPPING&amp;at_account_id=921-620-5076&amp;gad_source=1&amp;gclid=CjwKCAiAmfq6BhAsEiwAX1jsZ-te7tJrvAPXK01jRCUQoXtoj4rgqxuRXzwWWbwZH6WgdZRb8ZYmPhoC5aUQAvD_BwE&amp;gclsrc=aw.ds" TargetMode="External"/><Relationship Id="rId31" Type="http://schemas.openxmlformats.org/officeDocument/2006/relationships/hyperlink" Target="https://www.bricovis.fr/produit-rondelle-m-inox-a2-nfe-25513-ronma2/" TargetMode="External"/><Relationship Id="rId4" Type="http://schemas.openxmlformats.org/officeDocument/2006/relationships/hyperlink" Target="https://www.amazon.fr/sourcing-map-Aluminium-courroie-synchrone/dp/B0747PJ3HL/ref=sr_1_2?__mk_fr_FR=%C3%85M%C3%85%C5%BD%C3%95%C3%91&amp;crid=1Y6S4A6OI1GXI&amp;dib=eyJ2IjoiMSJ9.ynnq-3JhLdTui7Upacfb1Gu8BqjNmckfZV-jfESNGhFB37WTCEx0FH1vLHpRLqS90Ixd5lIibhAW4fCL_xEg_DhIhEm7rHAlqW8QFZonplUCrGe8JgpmvU3LFL6QT1Uz221qSem4WiGo-qUBsfJcq7d5CzjVDDzubkZMlYcFdhownvK7u9qcgq__3rLRR19mC1SWObfU-laqtKSv9n0AIv3gH1sNZ7hn9_6e_IWuFFh8ss9yEc3r7Vi1-YNEeWZI6PX1DCcDy7qdnbmGUJuno0GB5nAarIUtosRvDCia9SQ.1E8U6UDcP1lfsLyEDl1b-0ldYC4io3eUGGLlOtebpJ8&amp;dib_tag=se&amp;keywords=Poulie+de+distribution+en+aluminium+al%C3%A9sage+de+6+et+15mm&amp;qid=1730319519&amp;sprefix=poulie+de+distribution+en+aluminium+al%C3%A9sage+de+6+et+15mm%2Caps%2C73&amp;sr=8-2" TargetMode="External"/><Relationship Id="rId9" Type="http://schemas.openxmlformats.org/officeDocument/2006/relationships/hyperlink" Target="https://www.amazon.fr/Int%C3%A9rieur-Galvanis%C3%A9-Installations-Int%C3%A9rieures-Balustrades/dp/B0D6B9MN86/ref=sr_1_14?__mk_fr_FR=%C3%85M%C3%85%C5%BD%C3%95%C3%91&amp;crid=2D7BBI0E0E8MK&amp;dib=eyJ2IjoiMSJ9.MVCbZ3srQhiyNqm7iXnS8cDhvFmnlfI1ipIE1P4P79VmrAlSuG76DKorBhDGQhFE3KGQa1FnNODpFJ_kxVQ_caQ8sDIyombBYopFjuN3jlUzrwNn0_WIPGYJJV-XbOMFBeSIL9LRvN5vgIlY3KGAYGcXebR2UBXhhi0E-DlqXTrzu5DbTTKlheqjfOfxzU6mq7M8vm-XZGU9Cg7KiFydqub8P2MyQTOfBdYmRrRPQeE.qhLUuczKnzkxKAe4WV_SpZ0aZvKBUyHtrRyo40r2raY&amp;dib_tag=se&amp;keywords=tige+filet%C3%A9e+m8&amp;qid=1731002887&amp;s=hi&amp;sprefix=tige+filet%C3%A9+m8%2Cdiy%2C80&amp;sr=1-14" TargetMode="External"/><Relationship Id="rId14" Type="http://schemas.openxmlformats.org/officeDocument/2006/relationships/hyperlink" Target="https://www.amazon.fr/sourcing-map-Enti%C3%A8rement-Filet%C3%A9e-Droite/dp/B09LCT2KBY/ref=sr_1_3?__mk_fr_FR=%C3%85M%C3%85%C5%BD%C3%95%C3%91&amp;crid=25AV63Y82U0AF&amp;dib=eyJ2IjoiMSJ9.q0Yh7c_XTUlEgD9xKY6G0os2GJiAePhmLX3eujix43uNCjjNn7njSm7Oy4vrERJcek2LLbOBI4mJn60cxGtxLdjSnrM6xB2ZpIaM_MZiqtmEC7PISDCh07LvUUBu7jQmEceT3gtz8PMFAt4DbD3vv9IjfPKPlVk-6GxAIFvdm9WOnB5Khfg2LvxKUzadykzXW0WxtG3NF-F0qmU3ckmZ-HtfK8g_CGSrHnfHqfy1_QQ.oDUvsN32MUfVKt-G1LSQYbvRH9DgBGfcE6yy9iEBML8&amp;dib_tag=se&amp;keywords=Tiges+Filet%C3%A9es+M6+X+150+MM&amp;nsdOptOutParam=true&amp;qid=1734259560&amp;s=hi&amp;sprefix=tiges+filet%C3%A9es+m6+x+150+mm%2Cdiy%2C68&amp;sr=1-3" TargetMode="External"/><Relationship Id="rId22" Type="http://schemas.openxmlformats.org/officeDocument/2006/relationships/hyperlink" Target="https://www.amazon.fr/dp/B0D9JWVW2Y/ref=sspa_dk_detail_1?pd_rd_i=B0D9JWR25L&amp;pd_rd_w=FR1OC&amp;content-id=amzn1.sym.2295e42d-cd2a-4ee8-906d-272916f85e0f&amp;pf_rd_p=2295e42d-cd2a-4ee8-906d-272916f85e0f&amp;pf_rd_r=A3MPA9STVSR9QJYMSS89&amp;pd_rd_wg=j87Jp&amp;pd_rd_r=ac12e2b4-09de-413d-9acc-3b70ce5e10af&amp;s=industrial&amp;sp_csd=d2lkZ2V0TmFtZT1zcF9kZXRhaWwy&amp;th=1" TargetMode="External"/><Relationship Id="rId27" Type="http://schemas.openxmlformats.org/officeDocument/2006/relationships/hyperlink" Target="https://www.bricovis.fr/produit-ecrou-hu-inox-a2-din-934-ecrhua2/" TargetMode="External"/><Relationship Id="rId30" Type="http://schemas.openxmlformats.org/officeDocument/2006/relationships/hyperlink" Target="https://www.bricovis.fr/produit-rondelle-m-inox-a2-nfe-25513-ronma2/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www.leroymerlin.fr/produits/menuiserie/panneau-planche-et-materiaux-bois/panneau-bois-agglomere-mdf/panneau-bois-predecoupe/predecoupe-medium-mdf-naturel-ep-10-mm-l-80-x-l-60-cm-6745604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2D48-1230-414B-9798-84598AFE78BB}">
  <dimension ref="A1:M60"/>
  <sheetViews>
    <sheetView tabSelected="1" topLeftCell="E44" zoomScaleNormal="100" workbookViewId="0">
      <selection activeCell="I58" sqref="I58"/>
    </sheetView>
  </sheetViews>
  <sheetFormatPr baseColWidth="10" defaultColWidth="11.44140625" defaultRowHeight="14.4"/>
  <cols>
    <col min="1" max="1" width="3.6640625" customWidth="1"/>
    <col min="2" max="2" width="50.6640625" style="4" customWidth="1"/>
    <col min="3" max="3" width="7.6640625" style="5" customWidth="1"/>
    <col min="4" max="4" width="10.6640625" style="5" customWidth="1"/>
    <col min="5" max="5" width="12.6640625" style="4" customWidth="1"/>
    <col min="6" max="6" width="25.6640625" style="21" customWidth="1"/>
    <col min="7" max="7" width="7.6640625" style="5" customWidth="1"/>
    <col min="8" max="9" width="15.6640625" style="6" customWidth="1"/>
    <col min="10" max="10" width="10.6640625" style="5" customWidth="1"/>
    <col min="11" max="11" width="5.6640625" style="5" customWidth="1"/>
    <col min="12" max="12" width="145.6640625" style="4" customWidth="1"/>
  </cols>
  <sheetData>
    <row r="1" spans="1:13">
      <c r="A1" s="7"/>
      <c r="B1" s="8"/>
      <c r="C1" s="9"/>
      <c r="D1" s="9"/>
      <c r="E1" s="8"/>
      <c r="F1" s="19"/>
      <c r="G1" s="9"/>
      <c r="H1" s="10"/>
      <c r="I1" s="10"/>
      <c r="J1" s="9"/>
      <c r="K1" s="9"/>
      <c r="L1" s="8"/>
      <c r="M1" s="7"/>
    </row>
    <row r="2" spans="1:13">
      <c r="A2" s="7"/>
      <c r="B2" s="3" t="s">
        <v>0</v>
      </c>
      <c r="C2" s="2" t="s">
        <v>1</v>
      </c>
      <c r="D2" s="1" t="s">
        <v>2</v>
      </c>
      <c r="E2" s="2" t="s">
        <v>3</v>
      </c>
      <c r="F2" s="20" t="s">
        <v>4</v>
      </c>
      <c r="G2" s="1" t="s">
        <v>5</v>
      </c>
      <c r="H2" s="2" t="s">
        <v>6</v>
      </c>
      <c r="I2" s="2" t="s">
        <v>7</v>
      </c>
      <c r="J2" s="2" t="s">
        <v>8</v>
      </c>
      <c r="K2" s="1" t="s">
        <v>9</v>
      </c>
      <c r="L2" s="2" t="s">
        <v>10</v>
      </c>
      <c r="M2" s="7"/>
    </row>
    <row r="3" spans="1:13" ht="19.2">
      <c r="A3" s="7"/>
      <c r="B3" s="4" t="s">
        <v>11</v>
      </c>
      <c r="C3" s="5">
        <v>1</v>
      </c>
      <c r="D3" s="5" t="s">
        <v>2</v>
      </c>
      <c r="E3" s="4" t="s">
        <v>12</v>
      </c>
      <c r="F3" s="21" t="s">
        <v>13</v>
      </c>
      <c r="G3" s="5" t="s">
        <v>5</v>
      </c>
      <c r="H3" s="11">
        <v>27.74</v>
      </c>
      <c r="I3" s="11">
        <f>H3*C3</f>
        <v>27.74</v>
      </c>
      <c r="J3" s="14" t="s">
        <v>14</v>
      </c>
      <c r="K3" s="14" t="s">
        <v>9</v>
      </c>
      <c r="L3" s="13" t="s">
        <v>15</v>
      </c>
      <c r="M3" s="7"/>
    </row>
    <row r="4" spans="1:13" ht="19.2">
      <c r="A4" s="7"/>
      <c r="B4" s="4" t="s">
        <v>16</v>
      </c>
      <c r="C4" s="5">
        <v>1</v>
      </c>
      <c r="D4" s="5" t="s">
        <v>2</v>
      </c>
      <c r="E4" s="4" t="s">
        <v>17</v>
      </c>
      <c r="F4" s="21" t="s">
        <v>18</v>
      </c>
      <c r="G4" s="5" t="s">
        <v>5</v>
      </c>
      <c r="H4" s="11">
        <v>9.9</v>
      </c>
      <c r="I4" s="11">
        <f>H4*C4</f>
        <v>9.9</v>
      </c>
      <c r="J4" s="14" t="s">
        <v>14</v>
      </c>
      <c r="K4" s="14" t="s">
        <v>9</v>
      </c>
      <c r="L4" s="13" t="s">
        <v>19</v>
      </c>
      <c r="M4" s="7"/>
    </row>
    <row r="5" spans="1:13" ht="19.2">
      <c r="A5" s="7"/>
      <c r="B5" s="4" t="s">
        <v>20</v>
      </c>
      <c r="C5" s="5">
        <v>1</v>
      </c>
      <c r="D5" s="5" t="s">
        <v>2</v>
      </c>
      <c r="E5" s="4" t="s">
        <v>21</v>
      </c>
      <c r="F5" s="21" t="s">
        <v>22</v>
      </c>
      <c r="G5" s="5" t="s">
        <v>5</v>
      </c>
      <c r="H5" s="11">
        <v>11.99</v>
      </c>
      <c r="I5" s="11">
        <v>4.5</v>
      </c>
      <c r="J5" s="14" t="s">
        <v>14</v>
      </c>
      <c r="K5" s="14" t="s">
        <v>9</v>
      </c>
      <c r="L5" s="13" t="s">
        <v>23</v>
      </c>
      <c r="M5" s="7"/>
    </row>
    <row r="6" spans="1:13" ht="19.2">
      <c r="A6" s="7"/>
      <c r="B6" s="4" t="s">
        <v>24</v>
      </c>
      <c r="C6" s="5">
        <v>1</v>
      </c>
      <c r="D6" s="5" t="s">
        <v>2</v>
      </c>
      <c r="E6" s="4" t="s">
        <v>25</v>
      </c>
      <c r="F6" s="21" t="s">
        <v>26</v>
      </c>
      <c r="G6" s="5" t="s">
        <v>5</v>
      </c>
      <c r="H6" s="11">
        <v>43.93</v>
      </c>
      <c r="I6" s="11">
        <f>H6*C6</f>
        <v>43.93</v>
      </c>
      <c r="J6" s="14" t="s">
        <v>14</v>
      </c>
      <c r="K6" s="14" t="s">
        <v>9</v>
      </c>
      <c r="L6" s="13" t="s">
        <v>27</v>
      </c>
      <c r="M6" s="7"/>
    </row>
    <row r="7" spans="1:13" s="32" customFormat="1">
      <c r="A7" s="31"/>
      <c r="B7" s="33" t="s">
        <v>28</v>
      </c>
      <c r="C7" s="34"/>
      <c r="D7" s="34" t="s">
        <v>2</v>
      </c>
      <c r="E7" s="35"/>
      <c r="F7" s="36"/>
      <c r="G7" s="34" t="s">
        <v>5</v>
      </c>
      <c r="H7" s="37"/>
      <c r="I7" s="37"/>
      <c r="J7" s="38"/>
      <c r="K7" s="38" t="s">
        <v>9</v>
      </c>
      <c r="L7" s="35"/>
      <c r="M7" s="31"/>
    </row>
    <row r="8" spans="1:13" ht="19.2">
      <c r="A8" s="7"/>
      <c r="B8" s="4" t="s">
        <v>29</v>
      </c>
      <c r="C8" s="5">
        <v>1</v>
      </c>
      <c r="D8" s="5" t="s">
        <v>2</v>
      </c>
      <c r="F8" s="21" t="s">
        <v>30</v>
      </c>
      <c r="G8" s="5" t="s">
        <v>5</v>
      </c>
      <c r="H8" s="11">
        <v>56.48</v>
      </c>
      <c r="I8" s="11">
        <f>H8*C8</f>
        <v>56.48</v>
      </c>
      <c r="J8" s="14" t="s">
        <v>14</v>
      </c>
      <c r="K8" s="14" t="s">
        <v>9</v>
      </c>
      <c r="L8" s="41" t="s">
        <v>31</v>
      </c>
      <c r="M8" s="7"/>
    </row>
    <row r="9" spans="1:13" ht="19.2">
      <c r="A9" s="7"/>
      <c r="B9" s="23" t="s">
        <v>32</v>
      </c>
      <c r="C9" s="24">
        <v>2</v>
      </c>
      <c r="D9" s="24" t="s">
        <v>2</v>
      </c>
      <c r="E9" s="23" t="s">
        <v>25</v>
      </c>
      <c r="F9" s="25" t="s">
        <v>33</v>
      </c>
      <c r="G9" s="24" t="s">
        <v>5</v>
      </c>
      <c r="H9" s="26">
        <v>20.91</v>
      </c>
      <c r="I9" s="26">
        <f t="shared" ref="I9:I50" si="0">H9*C9</f>
        <v>41.82</v>
      </c>
      <c r="J9" s="22" t="s">
        <v>14</v>
      </c>
      <c r="K9" s="22" t="s">
        <v>9</v>
      </c>
      <c r="L9" s="45" t="s">
        <v>34</v>
      </c>
      <c r="M9" s="7"/>
    </row>
    <row r="10" spans="1:13">
      <c r="A10" s="7"/>
      <c r="B10" s="4" t="s">
        <v>35</v>
      </c>
      <c r="C10" s="5">
        <v>1</v>
      </c>
      <c r="D10" s="5" t="s">
        <v>2</v>
      </c>
      <c r="G10" s="5" t="s">
        <v>5</v>
      </c>
      <c r="H10" s="11">
        <f>SUM(H11:H13)</f>
        <v>24.87</v>
      </c>
      <c r="I10" s="11">
        <f>H10*C10</f>
        <v>24.87</v>
      </c>
      <c r="J10" s="14" t="s">
        <v>14</v>
      </c>
      <c r="K10" s="14" t="s">
        <v>9</v>
      </c>
      <c r="L10" s="40"/>
      <c r="M10" s="7"/>
    </row>
    <row r="11" spans="1:13">
      <c r="A11" s="7"/>
      <c r="B11" s="27" t="s">
        <v>36</v>
      </c>
      <c r="C11" s="28">
        <v>1</v>
      </c>
      <c r="D11" s="5" t="s">
        <v>2</v>
      </c>
      <c r="E11" s="27" t="s">
        <v>25</v>
      </c>
      <c r="F11" s="29" t="s">
        <v>37</v>
      </c>
      <c r="G11" s="5" t="s">
        <v>5</v>
      </c>
      <c r="H11" s="30">
        <v>9.99</v>
      </c>
      <c r="I11" s="30"/>
      <c r="J11" s="44" t="s">
        <v>14</v>
      </c>
      <c r="K11" s="14" t="s">
        <v>9</v>
      </c>
      <c r="L11" s="13" t="s">
        <v>38</v>
      </c>
      <c r="M11" s="7"/>
    </row>
    <row r="12" spans="1:13">
      <c r="A12" s="7"/>
      <c r="B12" s="27" t="s">
        <v>39</v>
      </c>
      <c r="C12" s="28">
        <v>1</v>
      </c>
      <c r="D12" s="5" t="s">
        <v>2</v>
      </c>
      <c r="E12" s="27" t="s">
        <v>25</v>
      </c>
      <c r="F12" s="29" t="s">
        <v>40</v>
      </c>
      <c r="G12" s="5" t="s">
        <v>5</v>
      </c>
      <c r="H12" s="30">
        <v>8.99</v>
      </c>
      <c r="I12" s="30"/>
      <c r="J12" s="44" t="s">
        <v>14</v>
      </c>
      <c r="K12" s="14" t="s">
        <v>9</v>
      </c>
      <c r="L12" s="13" t="s">
        <v>41</v>
      </c>
      <c r="M12" s="7"/>
    </row>
    <row r="13" spans="1:13">
      <c r="A13" s="7"/>
      <c r="B13" s="27" t="s">
        <v>42</v>
      </c>
      <c r="C13" s="28">
        <v>1</v>
      </c>
      <c r="D13" s="5" t="s">
        <v>2</v>
      </c>
      <c r="E13" s="27" t="s">
        <v>12</v>
      </c>
      <c r="F13" s="29" t="s">
        <v>43</v>
      </c>
      <c r="G13" s="5" t="s">
        <v>5</v>
      </c>
      <c r="H13" s="30">
        <v>5.89</v>
      </c>
      <c r="I13" s="30"/>
      <c r="J13" s="44" t="s">
        <v>14</v>
      </c>
      <c r="K13" s="14" t="s">
        <v>9</v>
      </c>
      <c r="L13" s="13" t="s">
        <v>44</v>
      </c>
      <c r="M13" s="7"/>
    </row>
    <row r="14" spans="1:13">
      <c r="A14" s="7"/>
      <c r="B14" s="33" t="s">
        <v>45</v>
      </c>
      <c r="C14" s="34"/>
      <c r="D14" s="34" t="s">
        <v>2</v>
      </c>
      <c r="E14" s="35"/>
      <c r="F14" s="36"/>
      <c r="G14" s="34" t="s">
        <v>5</v>
      </c>
      <c r="H14" s="37"/>
      <c r="I14" s="37"/>
      <c r="J14" s="38"/>
      <c r="K14" s="38" t="s">
        <v>9</v>
      </c>
      <c r="L14" s="35"/>
      <c r="M14" s="7"/>
    </row>
    <row r="15" spans="1:13">
      <c r="A15" s="7"/>
      <c r="B15" s="4" t="s">
        <v>46</v>
      </c>
      <c r="C15" s="5">
        <v>1</v>
      </c>
      <c r="D15" s="5" t="s">
        <v>2</v>
      </c>
      <c r="E15" s="4" t="s">
        <v>47</v>
      </c>
      <c r="F15" s="21" t="s">
        <v>48</v>
      </c>
      <c r="G15" s="5" t="s">
        <v>5</v>
      </c>
      <c r="H15" s="11">
        <v>31.99</v>
      </c>
      <c r="I15" s="11">
        <f>H15*C15</f>
        <v>31.99</v>
      </c>
      <c r="J15" s="14" t="s">
        <v>14</v>
      </c>
      <c r="K15" s="14" t="s">
        <v>9</v>
      </c>
      <c r="L15" s="13" t="s">
        <v>49</v>
      </c>
      <c r="M15" s="7"/>
    </row>
    <row r="16" spans="1:13" s="32" customFormat="1">
      <c r="A16" s="31"/>
      <c r="B16" s="33" t="s">
        <v>50</v>
      </c>
      <c r="C16" s="34"/>
      <c r="D16" s="34" t="s">
        <v>2</v>
      </c>
      <c r="E16" s="35"/>
      <c r="F16" s="36"/>
      <c r="G16" s="34" t="s">
        <v>5</v>
      </c>
      <c r="H16" s="37"/>
      <c r="I16" s="37"/>
      <c r="J16" s="38"/>
      <c r="K16" s="38" t="s">
        <v>9</v>
      </c>
      <c r="L16" s="35"/>
      <c r="M16" s="31"/>
    </row>
    <row r="17" spans="1:13">
      <c r="A17" s="7"/>
      <c r="B17" s="4" t="s">
        <v>51</v>
      </c>
      <c r="C17" s="5">
        <v>6</v>
      </c>
      <c r="D17" s="5" t="s">
        <v>2</v>
      </c>
      <c r="E17" s="4" t="s">
        <v>25</v>
      </c>
      <c r="F17" s="21" t="s">
        <v>52</v>
      </c>
      <c r="G17" s="5" t="s">
        <v>5</v>
      </c>
      <c r="H17" s="11">
        <v>46.12</v>
      </c>
      <c r="I17" s="11">
        <f t="shared" si="0"/>
        <v>276.71999999999997</v>
      </c>
      <c r="J17" s="14" t="s">
        <v>14</v>
      </c>
      <c r="K17" s="14" t="s">
        <v>9</v>
      </c>
      <c r="L17" s="13" t="s">
        <v>53</v>
      </c>
      <c r="M17" s="7"/>
    </row>
    <row r="18" spans="1:13">
      <c r="A18" s="7"/>
      <c r="B18" s="4" t="s">
        <v>54</v>
      </c>
      <c r="C18" s="5">
        <v>3</v>
      </c>
      <c r="D18" s="5" t="s">
        <v>2</v>
      </c>
      <c r="E18" s="4" t="s">
        <v>25</v>
      </c>
      <c r="F18" s="21" t="s">
        <v>55</v>
      </c>
      <c r="G18" s="5" t="s">
        <v>5</v>
      </c>
      <c r="H18" s="11">
        <v>18.649999999999999</v>
      </c>
      <c r="I18" s="11">
        <f t="shared" si="0"/>
        <v>55.949999999999996</v>
      </c>
      <c r="J18" s="14" t="s">
        <v>14</v>
      </c>
      <c r="K18" s="14" t="s">
        <v>9</v>
      </c>
      <c r="L18" s="13" t="s">
        <v>53</v>
      </c>
      <c r="M18" s="7"/>
    </row>
    <row r="19" spans="1:13" s="32" customFormat="1">
      <c r="A19" s="31"/>
      <c r="B19" s="33" t="s">
        <v>56</v>
      </c>
      <c r="C19" s="34"/>
      <c r="D19" s="34" t="s">
        <v>2</v>
      </c>
      <c r="E19" s="35"/>
      <c r="F19" s="36"/>
      <c r="G19" s="34" t="s">
        <v>5</v>
      </c>
      <c r="H19" s="37"/>
      <c r="I19" s="37"/>
      <c r="J19" s="38"/>
      <c r="K19" s="38" t="s">
        <v>9</v>
      </c>
      <c r="L19" s="35"/>
      <c r="M19" s="31"/>
    </row>
    <row r="20" spans="1:13" s="32" customFormat="1" ht="19.2">
      <c r="A20" s="31"/>
      <c r="B20" s="4" t="s">
        <v>57</v>
      </c>
      <c r="C20" s="5">
        <v>1</v>
      </c>
      <c r="D20" s="5" t="s">
        <v>2</v>
      </c>
      <c r="E20" s="21" t="s">
        <v>58</v>
      </c>
      <c r="F20" s="21" t="s">
        <v>59</v>
      </c>
      <c r="G20" s="5" t="s">
        <v>5</v>
      </c>
      <c r="H20" s="11">
        <v>21.99</v>
      </c>
      <c r="I20" s="11">
        <f t="shared" ref="I20:I25" si="1">H20*C20</f>
        <v>21.99</v>
      </c>
      <c r="J20" s="14" t="s">
        <v>14</v>
      </c>
      <c r="K20" s="14" t="s">
        <v>9</v>
      </c>
      <c r="L20" s="13" t="s">
        <v>60</v>
      </c>
      <c r="M20" s="31"/>
    </row>
    <row r="21" spans="1:13">
      <c r="A21" s="7"/>
      <c r="B21" s="4" t="s">
        <v>61</v>
      </c>
      <c r="C21" s="5">
        <v>2</v>
      </c>
      <c r="D21" s="5" t="s">
        <v>2</v>
      </c>
      <c r="E21" s="4" t="s">
        <v>25</v>
      </c>
      <c r="F21" s="21" t="s">
        <v>62</v>
      </c>
      <c r="G21" s="5" t="s">
        <v>5</v>
      </c>
      <c r="H21" s="11">
        <v>16.989999999999998</v>
      </c>
      <c r="I21" s="11">
        <f t="shared" si="1"/>
        <v>33.979999999999997</v>
      </c>
      <c r="J21" s="14" t="s">
        <v>14</v>
      </c>
      <c r="K21" s="14" t="s">
        <v>9</v>
      </c>
      <c r="L21" s="13" t="s">
        <v>63</v>
      </c>
      <c r="M21" s="7"/>
    </row>
    <row r="22" spans="1:13">
      <c r="A22" s="7"/>
      <c r="B22" s="4" t="s">
        <v>64</v>
      </c>
      <c r="C22" s="5">
        <v>3</v>
      </c>
      <c r="D22" s="5" t="s">
        <v>2</v>
      </c>
      <c r="E22" s="4" t="s">
        <v>65</v>
      </c>
      <c r="F22" s="21" t="s">
        <v>66</v>
      </c>
      <c r="G22" s="5" t="s">
        <v>5</v>
      </c>
      <c r="H22" s="11">
        <v>7.79</v>
      </c>
      <c r="I22" s="11">
        <f t="shared" si="1"/>
        <v>23.37</v>
      </c>
      <c r="J22" s="14" t="s">
        <v>14</v>
      </c>
      <c r="K22" s="14" t="s">
        <v>9</v>
      </c>
      <c r="L22" s="13" t="s">
        <v>67</v>
      </c>
      <c r="M22" s="7"/>
    </row>
    <row r="23" spans="1:13">
      <c r="A23" s="7"/>
      <c r="B23" s="4" t="s">
        <v>68</v>
      </c>
      <c r="C23" s="5">
        <v>1</v>
      </c>
      <c r="D23" s="5" t="s">
        <v>2</v>
      </c>
      <c r="E23" s="4" t="s">
        <v>65</v>
      </c>
      <c r="F23" s="21" t="s">
        <v>69</v>
      </c>
      <c r="G23" s="5" t="s">
        <v>5</v>
      </c>
      <c r="H23" s="11">
        <v>10.09</v>
      </c>
      <c r="I23" s="11">
        <f t="shared" si="1"/>
        <v>10.09</v>
      </c>
      <c r="J23" s="14" t="s">
        <v>14</v>
      </c>
      <c r="K23" s="14" t="s">
        <v>9</v>
      </c>
      <c r="L23" s="13" t="s">
        <v>70</v>
      </c>
      <c r="M23" s="7"/>
    </row>
    <row r="24" spans="1:13">
      <c r="A24" s="7"/>
      <c r="B24" s="4" t="s">
        <v>71</v>
      </c>
      <c r="C24" s="5">
        <v>1</v>
      </c>
      <c r="D24" s="5" t="s">
        <v>2</v>
      </c>
      <c r="E24" s="21" t="s">
        <v>72</v>
      </c>
      <c r="F24" s="21" t="s">
        <v>73</v>
      </c>
      <c r="G24" s="5" t="s">
        <v>5</v>
      </c>
      <c r="H24" s="11">
        <v>14.99</v>
      </c>
      <c r="I24" s="11">
        <f t="shared" si="1"/>
        <v>14.99</v>
      </c>
      <c r="J24" s="14" t="s">
        <v>14</v>
      </c>
      <c r="K24" s="14" t="s">
        <v>9</v>
      </c>
      <c r="L24" s="13" t="s">
        <v>74</v>
      </c>
      <c r="M24" s="7"/>
    </row>
    <row r="25" spans="1:13">
      <c r="A25" s="7"/>
      <c r="B25" s="4" t="s">
        <v>75</v>
      </c>
      <c r="C25" s="5">
        <v>1</v>
      </c>
      <c r="D25" s="5" t="s">
        <v>2</v>
      </c>
      <c r="E25" s="4" t="s">
        <v>25</v>
      </c>
      <c r="F25" s="21" t="s">
        <v>76</v>
      </c>
      <c r="G25" s="5" t="s">
        <v>5</v>
      </c>
      <c r="H25" s="11">
        <v>15.99</v>
      </c>
      <c r="I25" s="11">
        <f t="shared" si="1"/>
        <v>15.99</v>
      </c>
      <c r="J25" s="14" t="s">
        <v>14</v>
      </c>
      <c r="K25" s="14" t="s">
        <v>9</v>
      </c>
      <c r="L25" s="13" t="s">
        <v>77</v>
      </c>
      <c r="M25" s="7"/>
    </row>
    <row r="26" spans="1:13">
      <c r="A26" s="7"/>
      <c r="B26" s="33" t="s">
        <v>78</v>
      </c>
      <c r="C26" s="34"/>
      <c r="D26" s="34" t="s">
        <v>2</v>
      </c>
      <c r="E26" s="35"/>
      <c r="F26" s="36"/>
      <c r="G26" s="34" t="s">
        <v>5</v>
      </c>
      <c r="H26" s="37"/>
      <c r="I26" s="37"/>
      <c r="J26" s="38"/>
      <c r="K26" s="38" t="s">
        <v>9</v>
      </c>
      <c r="L26" s="35"/>
      <c r="M26" s="7"/>
    </row>
    <row r="27" spans="1:13">
      <c r="A27" s="7"/>
      <c r="B27" s="4" t="s">
        <v>79</v>
      </c>
      <c r="C27" s="5">
        <v>1</v>
      </c>
      <c r="D27" s="5" t="s">
        <v>2</v>
      </c>
      <c r="E27" s="21"/>
      <c r="F27" s="21" t="s">
        <v>80</v>
      </c>
      <c r="G27" s="5" t="s">
        <v>5</v>
      </c>
      <c r="H27" s="11">
        <v>46.97</v>
      </c>
      <c r="I27" s="11">
        <f>H27*C27</f>
        <v>46.97</v>
      </c>
      <c r="J27" s="14" t="s">
        <v>14</v>
      </c>
      <c r="K27" s="14" t="s">
        <v>9</v>
      </c>
      <c r="L27" s="13" t="s">
        <v>81</v>
      </c>
      <c r="M27" s="7"/>
    </row>
    <row r="28" spans="1:13">
      <c r="A28" s="7"/>
      <c r="B28" s="33" t="s">
        <v>82</v>
      </c>
      <c r="C28" s="34"/>
      <c r="D28" s="34" t="s">
        <v>2</v>
      </c>
      <c r="E28" s="35"/>
      <c r="F28" s="36"/>
      <c r="G28" s="34" t="s">
        <v>5</v>
      </c>
      <c r="H28" s="37"/>
      <c r="I28" s="37"/>
      <c r="J28" s="38"/>
      <c r="K28" s="38" t="s">
        <v>9</v>
      </c>
      <c r="L28" s="35"/>
      <c r="M28" s="7"/>
    </row>
    <row r="29" spans="1:13">
      <c r="A29" s="7"/>
      <c r="B29" s="4" t="s">
        <v>83</v>
      </c>
      <c r="C29" s="5">
        <v>1</v>
      </c>
      <c r="D29" s="5" t="s">
        <v>2</v>
      </c>
      <c r="G29" s="5" t="s">
        <v>5</v>
      </c>
      <c r="H29" s="11">
        <v>37.68</v>
      </c>
      <c r="I29" s="11">
        <f t="shared" ref="I29:I45" si="2">H29*C29</f>
        <v>37.68</v>
      </c>
      <c r="J29" s="14" t="s">
        <v>14</v>
      </c>
      <c r="K29" s="14" t="s">
        <v>9</v>
      </c>
      <c r="L29" s="13" t="s">
        <v>84</v>
      </c>
      <c r="M29" s="7"/>
    </row>
    <row r="30" spans="1:13">
      <c r="A30" s="7"/>
      <c r="B30" s="4" t="s">
        <v>85</v>
      </c>
      <c r="C30" s="5">
        <v>1</v>
      </c>
      <c r="D30" s="5" t="s">
        <v>2</v>
      </c>
      <c r="G30" s="5" t="s">
        <v>5</v>
      </c>
      <c r="H30" s="11">
        <v>3.9</v>
      </c>
      <c r="I30" s="11">
        <f t="shared" si="2"/>
        <v>3.9</v>
      </c>
      <c r="J30" s="14" t="s">
        <v>14</v>
      </c>
      <c r="K30" s="14" t="s">
        <v>9</v>
      </c>
      <c r="L30" s="13" t="s">
        <v>86</v>
      </c>
      <c r="M30" s="7"/>
    </row>
    <row r="31" spans="1:13">
      <c r="A31" s="7"/>
      <c r="B31" s="4" t="s">
        <v>87</v>
      </c>
      <c r="C31" s="5">
        <v>2</v>
      </c>
      <c r="D31" s="5" t="s">
        <v>2</v>
      </c>
      <c r="G31" s="5" t="s">
        <v>5</v>
      </c>
      <c r="H31" s="11">
        <v>89.4</v>
      </c>
      <c r="I31" s="11">
        <f>H31*C31</f>
        <v>178.8</v>
      </c>
      <c r="J31" s="14" t="s">
        <v>14</v>
      </c>
      <c r="K31" s="14" t="s">
        <v>9</v>
      </c>
      <c r="L31" s="43"/>
      <c r="M31" s="7"/>
    </row>
    <row r="32" spans="1:13" ht="19.2">
      <c r="A32" s="7"/>
      <c r="B32" s="4" t="s">
        <v>88</v>
      </c>
      <c r="C32" s="5">
        <v>1</v>
      </c>
      <c r="D32" s="5" t="s">
        <v>2</v>
      </c>
      <c r="F32" s="21" t="s">
        <v>89</v>
      </c>
      <c r="G32" s="5" t="s">
        <v>5</v>
      </c>
      <c r="H32" s="11">
        <v>65</v>
      </c>
      <c r="I32" s="11">
        <f t="shared" si="2"/>
        <v>65</v>
      </c>
      <c r="J32" s="14" t="s">
        <v>14</v>
      </c>
      <c r="K32" s="14" t="s">
        <v>9</v>
      </c>
      <c r="L32" s="43"/>
      <c r="M32" s="7"/>
    </row>
    <row r="33" spans="1:13">
      <c r="A33" s="7"/>
      <c r="B33" s="4" t="s">
        <v>90</v>
      </c>
      <c r="C33" s="5">
        <v>1</v>
      </c>
      <c r="D33" s="5" t="s">
        <v>2</v>
      </c>
      <c r="G33" s="5" t="s">
        <v>5</v>
      </c>
      <c r="H33" s="11">
        <v>10.32</v>
      </c>
      <c r="I33" s="11">
        <f>H33*C33</f>
        <v>10.32</v>
      </c>
      <c r="J33" s="14" t="s">
        <v>14</v>
      </c>
      <c r="K33" s="14" t="s">
        <v>9</v>
      </c>
      <c r="L33" s="43"/>
      <c r="M33" s="7"/>
    </row>
    <row r="34" spans="1:13">
      <c r="A34" s="7"/>
      <c r="B34" s="4" t="s">
        <v>91</v>
      </c>
      <c r="C34" s="5">
        <v>3</v>
      </c>
      <c r="D34" s="5" t="s">
        <v>2</v>
      </c>
      <c r="G34" s="5" t="s">
        <v>5</v>
      </c>
      <c r="H34" s="11">
        <v>2.4</v>
      </c>
      <c r="I34" s="11">
        <f>H34*C34</f>
        <v>7.1999999999999993</v>
      </c>
      <c r="J34" s="14" t="s">
        <v>14</v>
      </c>
      <c r="K34" s="14" t="s">
        <v>9</v>
      </c>
      <c r="L34" s="13" t="s">
        <v>92</v>
      </c>
      <c r="M34" s="7"/>
    </row>
    <row r="35" spans="1:13">
      <c r="A35" s="7"/>
      <c r="B35" s="4" t="s">
        <v>93</v>
      </c>
      <c r="C35" s="5">
        <v>1</v>
      </c>
      <c r="D35" s="5" t="s">
        <v>2</v>
      </c>
      <c r="G35" s="5" t="s">
        <v>5</v>
      </c>
      <c r="H35" s="11">
        <v>50</v>
      </c>
      <c r="I35" s="11">
        <f>H35*C35</f>
        <v>50</v>
      </c>
      <c r="J35" s="14" t="s">
        <v>14</v>
      </c>
      <c r="K35" s="14" t="s">
        <v>9</v>
      </c>
      <c r="L35" s="43"/>
      <c r="M35" s="7"/>
    </row>
    <row r="36" spans="1:13">
      <c r="A36" s="7"/>
      <c r="B36" s="4" t="s">
        <v>94</v>
      </c>
      <c r="C36" s="5">
        <v>1</v>
      </c>
      <c r="D36" s="5" t="s">
        <v>2</v>
      </c>
      <c r="F36" s="21" t="s">
        <v>95</v>
      </c>
      <c r="G36" s="5" t="s">
        <v>5</v>
      </c>
      <c r="H36" s="11">
        <v>5</v>
      </c>
      <c r="I36" s="11">
        <f>H36*C36</f>
        <v>5</v>
      </c>
      <c r="J36" s="14" t="s">
        <v>14</v>
      </c>
      <c r="K36" s="14" t="s">
        <v>9</v>
      </c>
      <c r="L36" s="43"/>
      <c r="M36" s="7"/>
    </row>
    <row r="37" spans="1:13">
      <c r="A37" s="7"/>
      <c r="B37" s="33" t="s">
        <v>96</v>
      </c>
      <c r="C37" s="34"/>
      <c r="D37" s="34" t="s">
        <v>2</v>
      </c>
      <c r="E37" s="35"/>
      <c r="F37" s="36"/>
      <c r="G37" s="34" t="s">
        <v>5</v>
      </c>
      <c r="H37" s="37"/>
      <c r="I37" s="37"/>
      <c r="J37" s="38"/>
      <c r="K37" s="38" t="s">
        <v>9</v>
      </c>
      <c r="L37" s="35"/>
      <c r="M37" s="7"/>
    </row>
    <row r="38" spans="1:13">
      <c r="A38" s="7"/>
      <c r="B38" s="4" t="s">
        <v>97</v>
      </c>
      <c r="C38" s="5">
        <v>2</v>
      </c>
      <c r="D38" s="5" t="s">
        <v>2</v>
      </c>
      <c r="F38" s="21" t="s">
        <v>98</v>
      </c>
      <c r="G38" s="5" t="s">
        <v>5</v>
      </c>
      <c r="H38" s="11">
        <v>14.99</v>
      </c>
      <c r="I38" s="11">
        <f t="shared" ref="I38:I43" si="3">H38*C38</f>
        <v>29.98</v>
      </c>
      <c r="J38" s="14" t="s">
        <v>14</v>
      </c>
      <c r="K38" s="14" t="s">
        <v>9</v>
      </c>
      <c r="L38" s="13" t="s">
        <v>99</v>
      </c>
      <c r="M38" s="7"/>
    </row>
    <row r="39" spans="1:13">
      <c r="A39" s="7"/>
      <c r="B39" s="4" t="s">
        <v>100</v>
      </c>
      <c r="C39" s="5">
        <v>10</v>
      </c>
      <c r="D39" s="5" t="s">
        <v>2</v>
      </c>
      <c r="E39" s="4" t="s">
        <v>101</v>
      </c>
      <c r="F39" s="21" t="s">
        <v>102</v>
      </c>
      <c r="G39" s="5" t="s">
        <v>5</v>
      </c>
      <c r="H39" s="11">
        <v>0.51</v>
      </c>
      <c r="I39" s="11">
        <f>H39*C39</f>
        <v>5.0999999999999996</v>
      </c>
      <c r="J39" s="14" t="s">
        <v>14</v>
      </c>
      <c r="K39" s="14" t="s">
        <v>9</v>
      </c>
      <c r="L39" s="13" t="s">
        <v>103</v>
      </c>
      <c r="M39" s="7"/>
    </row>
    <row r="40" spans="1:13">
      <c r="A40" s="7"/>
      <c r="B40" s="4" t="s">
        <v>104</v>
      </c>
      <c r="C40" s="5">
        <v>100</v>
      </c>
      <c r="D40" s="5" t="s">
        <v>2</v>
      </c>
      <c r="E40" s="4" t="s">
        <v>101</v>
      </c>
      <c r="F40" s="21" t="s">
        <v>105</v>
      </c>
      <c r="G40" s="5" t="s">
        <v>5</v>
      </c>
      <c r="H40" s="11">
        <v>0.28000000000000003</v>
      </c>
      <c r="I40" s="11">
        <f t="shared" si="3"/>
        <v>28.000000000000004</v>
      </c>
      <c r="J40" s="14" t="s">
        <v>14</v>
      </c>
      <c r="K40" s="14" t="s">
        <v>9</v>
      </c>
      <c r="L40" s="13" t="s">
        <v>103</v>
      </c>
      <c r="M40" s="7"/>
    </row>
    <row r="41" spans="1:13">
      <c r="A41" s="7"/>
      <c r="B41" s="4" t="s">
        <v>106</v>
      </c>
      <c r="C41" s="5">
        <v>60</v>
      </c>
      <c r="D41" s="5" t="s">
        <v>2</v>
      </c>
      <c r="E41" s="4" t="s">
        <v>101</v>
      </c>
      <c r="F41" s="21" t="s">
        <v>107</v>
      </c>
      <c r="G41" s="5" t="s">
        <v>5</v>
      </c>
      <c r="H41" s="11">
        <v>0.06</v>
      </c>
      <c r="I41" s="11">
        <f t="shared" si="3"/>
        <v>3.5999999999999996</v>
      </c>
      <c r="J41" s="14" t="s">
        <v>14</v>
      </c>
      <c r="K41" s="14" t="s">
        <v>9</v>
      </c>
      <c r="L41" s="13" t="s">
        <v>108</v>
      </c>
      <c r="M41" s="7"/>
    </row>
    <row r="42" spans="1:13">
      <c r="A42" s="7"/>
      <c r="B42" s="4" t="s">
        <v>109</v>
      </c>
      <c r="C42" s="5">
        <v>10</v>
      </c>
      <c r="D42" s="5" t="s">
        <v>2</v>
      </c>
      <c r="E42" s="4" t="s">
        <v>101</v>
      </c>
      <c r="F42" s="21" t="s">
        <v>110</v>
      </c>
      <c r="G42" s="5" t="s">
        <v>5</v>
      </c>
      <c r="H42" s="11">
        <v>0.21</v>
      </c>
      <c r="I42" s="11">
        <f>H42*C42</f>
        <v>2.1</v>
      </c>
      <c r="J42" s="14" t="s">
        <v>14</v>
      </c>
      <c r="K42" s="14" t="s">
        <v>9</v>
      </c>
      <c r="L42" s="13" t="s">
        <v>111</v>
      </c>
      <c r="M42" s="7"/>
    </row>
    <row r="43" spans="1:13">
      <c r="A43" s="7"/>
      <c r="B43" s="4" t="s">
        <v>112</v>
      </c>
      <c r="C43" s="5">
        <v>100</v>
      </c>
      <c r="D43" s="5" t="s">
        <v>2</v>
      </c>
      <c r="E43" s="4" t="s">
        <v>101</v>
      </c>
      <c r="F43" s="21" t="s">
        <v>113</v>
      </c>
      <c r="G43" s="5" t="s">
        <v>5</v>
      </c>
      <c r="H43" s="11">
        <v>0.1</v>
      </c>
      <c r="I43" s="11">
        <f t="shared" si="3"/>
        <v>10</v>
      </c>
      <c r="J43" s="14" t="s">
        <v>14</v>
      </c>
      <c r="K43" s="14" t="s">
        <v>9</v>
      </c>
      <c r="L43" s="13" t="s">
        <v>111</v>
      </c>
      <c r="M43" s="7"/>
    </row>
    <row r="44" spans="1:13">
      <c r="A44" s="7"/>
      <c r="B44" s="4" t="s">
        <v>114</v>
      </c>
      <c r="C44" s="5">
        <v>10</v>
      </c>
      <c r="D44" s="5" t="s">
        <v>2</v>
      </c>
      <c r="E44" s="4" t="s">
        <v>101</v>
      </c>
      <c r="F44" s="21" t="s">
        <v>115</v>
      </c>
      <c r="G44" s="5" t="s">
        <v>5</v>
      </c>
      <c r="H44" s="11">
        <v>0.05</v>
      </c>
      <c r="I44" s="11">
        <f>H44*C44</f>
        <v>0.5</v>
      </c>
      <c r="J44" s="14" t="s">
        <v>14</v>
      </c>
      <c r="K44" s="14" t="s">
        <v>9</v>
      </c>
      <c r="L44" s="13" t="s">
        <v>111</v>
      </c>
      <c r="M44" s="7"/>
    </row>
    <row r="45" spans="1:13">
      <c r="A45" s="7"/>
      <c r="B45" s="4" t="s">
        <v>116</v>
      </c>
      <c r="C45" s="5">
        <v>60</v>
      </c>
      <c r="D45" s="5" t="s">
        <v>2</v>
      </c>
      <c r="E45" s="4" t="s">
        <v>101</v>
      </c>
      <c r="F45" s="21" t="s">
        <v>117</v>
      </c>
      <c r="G45" s="5" t="s">
        <v>5</v>
      </c>
      <c r="H45" s="11">
        <v>0.03</v>
      </c>
      <c r="I45" s="11">
        <f t="shared" si="2"/>
        <v>1.7999999999999998</v>
      </c>
      <c r="J45" s="14" t="s">
        <v>14</v>
      </c>
      <c r="K45" s="14" t="s">
        <v>9</v>
      </c>
      <c r="L45" s="13" t="s">
        <v>111</v>
      </c>
      <c r="M45" s="7"/>
    </row>
    <row r="46" spans="1:13">
      <c r="A46" s="7"/>
      <c r="B46" s="4" t="s">
        <v>118</v>
      </c>
      <c r="C46" s="5">
        <v>20</v>
      </c>
      <c r="D46" s="5" t="s">
        <v>2</v>
      </c>
      <c r="E46" s="4" t="s">
        <v>101</v>
      </c>
      <c r="F46" s="21" t="s">
        <v>119</v>
      </c>
      <c r="G46" s="5" t="s">
        <v>5</v>
      </c>
      <c r="H46" s="11">
        <v>0.09</v>
      </c>
      <c r="I46" s="11">
        <f>H46*C46</f>
        <v>1.7999999999999998</v>
      </c>
      <c r="J46" s="14" t="s">
        <v>14</v>
      </c>
      <c r="K46" s="14" t="s">
        <v>9</v>
      </c>
      <c r="L46" s="13" t="s">
        <v>120</v>
      </c>
      <c r="M46" s="7"/>
    </row>
    <row r="47" spans="1:13">
      <c r="A47" s="7"/>
      <c r="B47" s="4" t="s">
        <v>121</v>
      </c>
      <c r="C47" s="5">
        <v>100</v>
      </c>
      <c r="D47" s="5" t="s">
        <v>2</v>
      </c>
      <c r="E47" s="4" t="s">
        <v>101</v>
      </c>
      <c r="F47" s="21" t="s">
        <v>122</v>
      </c>
      <c r="G47" s="5" t="s">
        <v>5</v>
      </c>
      <c r="H47" s="11">
        <v>0.05</v>
      </c>
      <c r="I47" s="11">
        <f t="shared" ref="I47:I49" si="4">H47*C47</f>
        <v>5</v>
      </c>
      <c r="J47" s="14" t="s">
        <v>14</v>
      </c>
      <c r="K47" s="14" t="s">
        <v>9</v>
      </c>
      <c r="L47" s="13" t="s">
        <v>120</v>
      </c>
      <c r="M47" s="7"/>
    </row>
    <row r="48" spans="1:13">
      <c r="A48" s="7"/>
      <c r="B48" s="4" t="s">
        <v>123</v>
      </c>
      <c r="C48" s="5">
        <v>10</v>
      </c>
      <c r="D48" s="5" t="s">
        <v>2</v>
      </c>
      <c r="E48" s="4" t="s">
        <v>101</v>
      </c>
      <c r="F48" s="21" t="s">
        <v>124</v>
      </c>
      <c r="G48" s="5" t="s">
        <v>5</v>
      </c>
      <c r="H48" s="11">
        <v>0.03</v>
      </c>
      <c r="I48" s="11">
        <f>H48*C48</f>
        <v>0.3</v>
      </c>
      <c r="J48" s="14" t="s">
        <v>14</v>
      </c>
      <c r="K48" s="14" t="s">
        <v>9</v>
      </c>
      <c r="L48" s="13" t="s">
        <v>120</v>
      </c>
      <c r="M48" s="7"/>
    </row>
    <row r="49" spans="1:13">
      <c r="A49" s="7"/>
      <c r="B49" s="4" t="s">
        <v>125</v>
      </c>
      <c r="C49" s="5">
        <v>120</v>
      </c>
      <c r="D49" s="5" t="s">
        <v>2</v>
      </c>
      <c r="E49" s="4" t="s">
        <v>101</v>
      </c>
      <c r="F49" s="21" t="s">
        <v>126</v>
      </c>
      <c r="G49" s="5" t="s">
        <v>5</v>
      </c>
      <c r="H49" s="11">
        <v>0.03</v>
      </c>
      <c r="I49" s="11">
        <f t="shared" si="4"/>
        <v>3.5999999999999996</v>
      </c>
      <c r="J49" s="14" t="s">
        <v>14</v>
      </c>
      <c r="K49" s="14" t="s">
        <v>9</v>
      </c>
      <c r="L49" s="13" t="s">
        <v>120</v>
      </c>
      <c r="M49" s="7"/>
    </row>
    <row r="50" spans="1:13">
      <c r="A50" s="7"/>
      <c r="D50" s="5" t="s">
        <v>2</v>
      </c>
      <c r="G50" s="5" t="s">
        <v>5</v>
      </c>
      <c r="H50" s="11"/>
      <c r="I50" s="11">
        <f t="shared" si="0"/>
        <v>0</v>
      </c>
      <c r="J50" s="14"/>
      <c r="K50" s="14" t="s">
        <v>9</v>
      </c>
      <c r="L50" s="13"/>
      <c r="M50" s="7"/>
    </row>
    <row r="51" spans="1:13">
      <c r="A51" s="7"/>
      <c r="B51" s="46" t="s">
        <v>127</v>
      </c>
      <c r="C51" s="47"/>
      <c r="D51" s="47" t="s">
        <v>2</v>
      </c>
      <c r="E51" s="46"/>
      <c r="F51" s="48"/>
      <c r="G51" s="47" t="s">
        <v>5</v>
      </c>
      <c r="H51" s="49"/>
      <c r="I51" s="49">
        <v>50</v>
      </c>
      <c r="J51" s="50" t="s">
        <v>14</v>
      </c>
      <c r="K51" s="50" t="s">
        <v>9</v>
      </c>
      <c r="L51" s="46"/>
      <c r="M51" s="7"/>
    </row>
    <row r="52" spans="1:13">
      <c r="A52" s="7"/>
      <c r="B52" s="8"/>
      <c r="C52" s="9"/>
      <c r="D52" s="9"/>
      <c r="E52" s="8"/>
      <c r="F52" s="19"/>
      <c r="G52" s="9"/>
      <c r="H52" s="10"/>
      <c r="I52" s="10"/>
      <c r="J52" s="9"/>
      <c r="K52" s="9"/>
      <c r="L52" s="8"/>
      <c r="M52" s="7"/>
    </row>
    <row r="53" spans="1:13">
      <c r="A53" s="7"/>
      <c r="B53" s="42"/>
      <c r="C53" s="9"/>
      <c r="D53" s="9"/>
      <c r="E53" s="8"/>
      <c r="F53" s="19"/>
      <c r="G53" s="9"/>
      <c r="H53" s="10"/>
      <c r="I53" s="10"/>
      <c r="J53" s="9"/>
      <c r="K53" s="9"/>
      <c r="L53" s="8"/>
      <c r="M53" s="7"/>
    </row>
    <row r="54" spans="1:13">
      <c r="A54" s="7"/>
      <c r="B54" s="42"/>
      <c r="C54" s="9"/>
      <c r="D54" s="9"/>
      <c r="E54" s="8"/>
      <c r="F54" s="19"/>
      <c r="G54" s="9"/>
      <c r="H54" s="10"/>
      <c r="I54" s="10"/>
      <c r="J54" s="9"/>
      <c r="K54" s="9"/>
      <c r="L54" s="8"/>
      <c r="M54" s="7"/>
    </row>
    <row r="55" spans="1:13">
      <c r="A55" s="7"/>
      <c r="B55" s="42"/>
      <c r="C55" s="9"/>
      <c r="D55" s="9"/>
      <c r="E55" s="8"/>
      <c r="F55" s="19"/>
      <c r="G55" s="9"/>
      <c r="H55" s="15" t="s">
        <v>128</v>
      </c>
      <c r="I55" s="12">
        <f>SUM(Tableau1[Prix total])</f>
        <v>1240.9599999999996</v>
      </c>
      <c r="J55" s="9"/>
      <c r="K55" s="9"/>
      <c r="L55" s="8"/>
      <c r="M55" s="7"/>
    </row>
    <row r="56" spans="1:13">
      <c r="A56" s="7"/>
      <c r="B56" s="8"/>
      <c r="C56" s="9"/>
      <c r="D56" s="9"/>
      <c r="E56" s="8"/>
      <c r="F56" s="19"/>
      <c r="G56" s="9"/>
      <c r="H56" s="16" t="s">
        <v>129</v>
      </c>
      <c r="I56" s="17">
        <v>1500</v>
      </c>
      <c r="J56" s="9"/>
      <c r="K56" s="9"/>
      <c r="L56" s="8"/>
      <c r="M56" s="7"/>
    </row>
    <row r="57" spans="1:13">
      <c r="A57" s="7"/>
      <c r="B57" s="8"/>
      <c r="C57" s="9"/>
      <c r="D57" s="9"/>
      <c r="E57" s="8"/>
      <c r="F57" s="19"/>
      <c r="G57" s="9"/>
      <c r="H57" s="16" t="s">
        <v>130</v>
      </c>
      <c r="I57" s="18">
        <f>I55/I56</f>
        <v>0.82730666666666641</v>
      </c>
      <c r="J57" s="39">
        <f>I55-I56</f>
        <v>-259.04000000000042</v>
      </c>
      <c r="K57" s="8"/>
      <c r="L57" s="8"/>
      <c r="M57" s="7"/>
    </row>
    <row r="58" spans="1:13">
      <c r="A58" s="7"/>
      <c r="B58" s="8"/>
      <c r="C58" s="9"/>
      <c r="D58" s="9"/>
      <c r="E58" s="8"/>
      <c r="F58" s="19"/>
      <c r="G58" s="9"/>
      <c r="H58" s="10"/>
      <c r="I58" s="10"/>
      <c r="J58" s="9"/>
      <c r="K58" s="9"/>
      <c r="L58" s="8"/>
      <c r="M58" s="7"/>
    </row>
    <row r="59" spans="1:13">
      <c r="A59" s="7"/>
      <c r="B59" s="8"/>
      <c r="C59" s="9"/>
      <c r="D59" s="9"/>
      <c r="E59" s="8"/>
      <c r="F59" s="19"/>
      <c r="G59" s="9"/>
      <c r="H59" s="15" t="s">
        <v>131</v>
      </c>
      <c r="I59" s="12">
        <f>I55*1.15</f>
        <v>1427.1039999999994</v>
      </c>
      <c r="J59" s="9"/>
      <c r="K59" s="9"/>
      <c r="L59" s="8"/>
      <c r="M59" s="7"/>
    </row>
    <row r="60" spans="1:13">
      <c r="A60" s="7"/>
      <c r="B60" s="8"/>
      <c r="C60" s="9"/>
      <c r="D60" s="9"/>
      <c r="E60" s="8"/>
      <c r="F60" s="19"/>
      <c r="G60" s="9"/>
      <c r="H60" s="10"/>
      <c r="I60" s="10"/>
      <c r="J60" s="9"/>
      <c r="K60" s="9"/>
      <c r="L60" s="8"/>
      <c r="M60" s="7"/>
    </row>
  </sheetData>
  <phoneticPr fontId="18" type="noConversion"/>
  <conditionalFormatting sqref="I57:J57">
    <cfRule type="dataBar" priority="2">
      <dataBar>
        <cfvo type="num" val="0"/>
        <cfvo type="num" val="1"/>
        <color rgb="FF00CC00"/>
      </dataBar>
      <extLst>
        <ext xmlns:x14="http://schemas.microsoft.com/office/spreadsheetml/2009/9/main" uri="{B025F937-C7B1-47D3-B67F-A62EFF666E3E}">
          <x14:id>{BEBF0D92-72A7-4BB3-B7D6-41536D19E5FC}</x14:id>
        </ext>
      </extLst>
    </cfRule>
  </conditionalFormatting>
  <hyperlinks>
    <hyperlink ref="L17" r:id="rId1" display="https://www.amazon.fr/Profil%C3%A9-aluminium-avec-rainures-type/dp/B0751CTQ3Y/ref=sr_1_9?__mk_fr_FR=%C3%85M%C3%85%C5%BD%C3%95%C3%91&amp;crid=1U32K6U0BT1DX&amp;dib=eyJ2IjoiMSJ9.wJ9ntlnIZnPFCtozMc9QUAVJGqgg6O_363_TqMIyldW5mevjYULk5sjEpLdVkPkw4sHWVdOgiaNFtkRw1-UBT8mXpus4ddAcHeVIW-eyOXC9f4P93HdpOXEeocnmjp6CvsXUvHbV-VK6ePpD3nG4U0sTX8PfHh7pDOxmCX4X1LHwGwJGBaCZysNkmKvkj3LrpP58iTdHMWM29gS6RTIAMqFha7zmN1S_az0r0Zdh8H2S_-f9QyKKKeqV1t8TJT2MlWZPZ3nLW_kIBjRnHVtowgjj23f9GO-QzqR-Stiomho.S1mQ8kPrLpYLcYdy9K3gGI9nXeALru6xLhJ94QvCzK8&amp;dib_tag=se&amp;keywords=profil%C3%A9%2Baluminium%2Bavec%2Brainure&amp;qid=1729876635&amp;s=industrial&amp;sprefix=profil%C3%A9%2Baluminium%2Bavec%2Brainure%2Cindustrial%2C68&amp;sr=1-9&amp;th=1" xr:uid="{EBB64E08-08E9-4F5E-8FE1-0B49BBFCE07A}"/>
    <hyperlink ref="L18" r:id="rId2" display="https://www.amazon.fr/Profil%C3%A9-aluminium-avec-rainures-type/dp/B0751CTQ3Y/ref=sr_1_9?__mk_fr_FR=%C3%85M%C3%85%C5%BD%C3%95%C3%91&amp;crid=1U32K6U0BT1DX&amp;dib=eyJ2IjoiMSJ9.wJ9ntlnIZnPFCtozMc9QUAVJGqgg6O_363_TqMIyldW5mevjYULk5sjEpLdVkPkw4sHWVdOgiaNFtkRw1-UBT8mXpus4ddAcHeVIW-eyOXC9f4P93HdpOXEeocnmjp6CvsXUvHbV-VK6ePpD3nG4U0sTX8PfHh7pDOxmCX4X1LHwGwJGBaCZysNkmKvkj3LrpP58iTdHMWM29gS6RTIAMqFha7zmN1S_az0r0Zdh8H2S_-f9QyKKKeqV1t8TJT2MlWZPZ3nLW_kIBjRnHVtowgjj23f9GO-QzqR-Stiomho.S1mQ8kPrLpYLcYdy9K3gGI9nXeALru6xLhJ94QvCzK8&amp;dib_tag=se&amp;keywords=profil%C3%A9%2Baluminium%2Bavec%2Brainure&amp;qid=1729876635&amp;s=industrial&amp;sprefix=profil%C3%A9%2Baluminium%2Bavec%2Brainure%2Cindustrial%2C68&amp;sr=1-9&amp;th=1" xr:uid="{0F213AE4-B552-4E49-A6BD-C88FE5063488}"/>
    <hyperlink ref="L3" r:id="rId3" display="https://www.amazon.fr/caoutchouc-%C3%A9paisseur-revetement-protection-antid%C3%A9rapant/dp/B0BKT16R1V/ref=sr_1_6?__mk_fr_FR=%C3%85M%C3%85%C5%BD%C3%95%C3%91&amp;crid=26Z0D2J2RLG88&amp;dib=eyJ2IjoiMSJ9.ii6BPMqw1qcbbyMe8916ZnilAIfzeY0uL2YWGO4PWuK6EyyvpbRVZ2OEqtwq5P-2DGul5fif6PNbR_MTMsAt2jySMBx2pkkdIhuWsUToDVdz_tMn4EF6iGVNKFCVMBC5fmypscza0UG_YO4vxNEuhGATqJm8iNtHMEdZMzWdTBEnCH3N78LWmwC7vvolCZ8GGyt4ySV72FgQhyb83Suk5RxVVh8HAq0CDIq_Z60guCN46Ix2oyV-8u6C9eNa_XKYihWz-GiM9HXrLMfoz1Db6czLgM7poymNY7TKIkHmCiM.juBd49XG8q8avfe8f5NvGfoDZNnXJUe71JUYS235ZW4&amp;dib_tag=se&amp;keywords=bande%2Bde%2Bcaoutchouc%2B4m&amp;qid=1730298779&amp;sprefix=bande%2Bde%2Bcaoutchouc%2B4m%2Caps%2C71&amp;sr=8-6&amp;th=1" xr:uid="{C125B850-1565-425D-AA82-E12642FAD429}"/>
    <hyperlink ref="L11" r:id="rId4" display="https://www.amazon.fr/sourcing-map-Aluminium-courroie-synchrone/dp/B0747PJ3HL/ref=sr_1_2?__mk_fr_FR=%C3%85M%C3%85%C5%BD%C3%95%C3%91&amp;crid=1Y6S4A6OI1GXI&amp;dib=eyJ2IjoiMSJ9.ynnq-3JhLdTui7Upacfb1Gu8BqjNmckfZV-jfESNGhFB37WTCEx0FH1vLHpRLqS90Ixd5lIibhAW4fCL_xEg_DhIhEm7rHAlqW8QFZonplUCrGe8JgpmvU3LFL6QT1Uz221qSem4WiGo-qUBsfJcq7d5CzjVDDzubkZMlYcFdhownvK7u9qcgq__3rLRR19mC1SWObfU-laqtKSv9n0AIv3gH1sNZ7hn9_6e_IWuFFh8ss9yEc3r7Vi1-YNEeWZI6PX1DCcDy7qdnbmGUJuno0GB5nAarIUtosRvDCia9SQ.1E8U6UDcP1lfsLyEDl1b-0ldYC4io3eUGGLlOtebpJ8&amp;dib_tag=se&amp;keywords=Poulie+de+distribution+en+aluminium+al%C3%A9sage+de+6+et+15mm&amp;qid=1730319519&amp;sprefix=poulie+de+distribution+en+aluminium+al%C3%A9sage+de+6+et+15mm%2Caps%2C73&amp;sr=8-2" xr:uid="{B7B3793C-E16B-4C67-8578-46435D72A9CF}"/>
    <hyperlink ref="L13" r:id="rId5" display="https://www.amazon.fr/Courroie-distribution-r%C3%A9sistance-courroie-caoutchouc/dp/B0D9KHTCC5/ref=sr_1_16?__mk_fr_FR=%C3%85M%C3%85%C5%BD%C3%95%C3%91&amp;crid=3S3LQ7Q5RF9QL&amp;dib=eyJ2IjoiMSJ9.FG1r0THrSWeYULVnwLJBPtiAcupTHQ_IktufstDJC5X2CyX_h4C0CLXzgn-iqYo-mnzUe4QbwUFslDr4BRX_BAB8G2Lr0oEfX29e-eFxrFKRDsZo_k1C3pjQuRY9aD9483M4rn8ZqqPHTYUC0nTDhOcSUCFXMALu9swaLarQJ_SM8MVQKcuZBWy9R0nsrdk61b5RbyiwY4I5jSbFDCEDN1W5YRn4nPt4cEzAJCXBpqOOyisZPEd4UFrd--neU5HzTUBLIOX_hyYWQEsCaxm3ahmcFUj1gPsmO6lMITw4I7E.Si1A-vO4-35N-Nz73LwX1IP_Xc515DAbaRqlwZlvPKs&amp;dib_tag=se&amp;keywords=Courroie%2Bde%2Bdistribution%2Ben%2Bcaoutchouc%2B6mm%2Bde%2Blarge&amp;qid=1730319894&amp;s=industrial&amp;sprefix=courroie%2Bde%2Bdistribution%2Ben%2Bcaoutchouc%2B6mm%2Bde%2Blarge%2Cindustrial%2C61&amp;sr=1-16&amp;th=1" xr:uid="{E0E23834-3EC0-4451-A78D-CEE5A889633B}"/>
    <hyperlink ref="L20" r:id="rId6" display="https://www.amazon.fr/HOLKIE-roulettes-pivotantes-filet%C3%A9e-freins/dp/B09YYK16H8/ref=sr_1_24?dib=eyJ2IjoiMSJ9.VqZaNbd6lKUm6cnp7wEt_0-mdblN9b889uCZEpYEQcGJ7nhseMd9R9d_gPVlN0rhb_sfXBL5R1MMKlarh5olXTdiADPfMMabfJ0xi5_ndbarg8r8jvqeNjdV6xiOcZZJfzWMLseU_A1JI0G50vBGAQIu1i_C2P3aP_cDyjLtE3-GVltdIqsDJpLsr3HrEN6WqiQhmDkrFh9uZcgLbWK8mLRfuah6h1kG5OSuLGx62m-hqd8sU0w97sriNNPfovYPmLKgN5ORBTuLDlDagmjw4DJ-yRVirgKF3LEaFJddpwU.ttNGjSAaOkJc9sUz2UNjFlD2y-XlAAzrOYynbfnJ_t8&amp;dib_tag=se&amp;keywords=Jeu+de+4+roulettes+pivotantes&amp;qid=1730321520&amp;sr=8-24" xr:uid="{87323AB4-F27F-4152-8210-6088A7B2C41F}"/>
    <hyperlink ref="L21" r:id="rId7" display="https://www.amazon.fr/10-Mat%C3%A9riel-Angulaire-Entretoises-Aluminium/dp/B07N69WGKR/ref=pd_bxgy_thbs_d_sccl_1/262-1582292-3228214?pd_rd_w=HpjvE&amp;content-id=amzn1.sym.a31ed743-a043-4c2b-8307-7c413395ed20&amp;pf_rd_p=a31ed743-a043-4c2b-8307-7c413395ed20&amp;pf_rd_r=Z3SZEY798ZA9XWY318NP&amp;pd_rd_wg=0AOi4&amp;pd_rd_r=ead720f6-e142-4f80-a7b5-86fd2b8e48d3&amp;pd_rd_i=B07N69WGKR&amp;th=1" xr:uid="{DFAC80A1-5AEE-40F7-930E-B6FE87B1683B}"/>
    <hyperlink ref="L4" r:id="rId8" display="https://www.leroymerlin.fr/produits/menuiserie/panneau-planche-et-materiaux-bois/panneau-bois-agglomere-mdf/panneau-bois-predecoupe/predecoupe-medium-mdf-naturel-ep-10-mm-l-80-x-l-60-cm-67456046.html" xr:uid="{093DEE62-4697-490D-BA19-8FF13704C235}"/>
    <hyperlink ref="L22" r:id="rId9" display="https://www.amazon.fr/Int%C3%A9rieur-Galvanis%C3%A9-Installations-Int%C3%A9rieures-Balustrades/dp/B0D6B9MN86/ref=sr_1_14?__mk_fr_FR=%C3%85M%C3%85%C5%BD%C3%95%C3%91&amp;crid=2D7BBI0E0E8MK&amp;dib=eyJ2IjoiMSJ9.MVCbZ3srQhiyNqm7iXnS8cDhvFmnlfI1ipIE1P4P79VmrAlSuG76DKorBhDGQhFE3KGQa1FnNODpFJ_kxVQ_caQ8sDIyombBYopFjuN3jlUzrwNn0_WIPGYJJV-XbOMFBeSIL9LRvN5vgIlY3KGAYGcXebR2UBXhhi0E-DlqXTrzu5DbTTKlheqjfOfxzU6mq7M8vm-XZGU9Cg7KiFydqub8P2MyQTOfBdYmRrRPQeE.qhLUuczKnzkxKAe4WV_SpZ0aZvKBUyHtrRyo40r2raY&amp;dib_tag=se&amp;keywords=tige+filet%C3%A9e+m8&amp;qid=1731002887&amp;s=hi&amp;sprefix=tige+filet%C3%A9+m8%2Cdiy%2C80&amp;sr=1-14" xr:uid="{17FCE372-42AA-4489-BAF9-ED41CA559758}"/>
    <hyperlink ref="L15" r:id="rId10" display="https://www.amazon.fr/Miuzei-num%C3%A9rique-direction-engrenage-m%C3%A9tallique/dp/B0BZ4L839R/ref=sr_1_10?__mk_fr_FR=%C3%85M%C3%85%C5%BD%C3%95%C3%91&amp;crid=1QMCD9XHAP8QX&amp;dib=eyJ2IjoiMSJ9.eW0uMicdyzmhOWts-UB4ydNg-6ZGlRRHnpRdvMPDe6ck5QeY3MCPkyxsABKKV3-BEKjHA94y5d78eN6p_pUqOXXSWxxpygiQs2xykGVHZ7BQVP49kmav_bNXJMxLBFbIOqhC-pzmspdTNtQ5c3-PgtS7dZ3bNKuCydwU3q5_hRwVqshitwo9sBuI_Hy-t-tyH6OH9RLD3_K5NayMevXP_vvxeRM2Fn8CwJGfkhB_aJTzxraFGWhUGEbhDamOZ3vk9uGPAmfKK0SC4yK2AJCeR-LPLyncJ9IGz-zJ7-Ru83U.nYuy8o8QDv7RyhX5JycJATKeJNB-yWhVn94HNEm2cEg&amp;dib_tag=se&amp;keywords=Servomoteur&amp;qid=1731174867&amp;sprefix=servomoteur%2Caps%2C186&amp;sr=8-10&amp;th=1" xr:uid="{32A847A4-E6AB-43F5-98A8-AD9D0F1F43A9}"/>
    <hyperlink ref="L24" r:id="rId11" display="https://www.amazon.fr/dp/B0CXDRSCZX/ref=sspa_dk_detail_1?psc=1&amp;pf_rd_p=d15aafde-9691-4d5f-85f2-056701d026bf&amp;pf_rd_r=GJZ8ZWR6TASRPJDEK5GK&amp;pd_rd_wg=O36j2&amp;pd_rd_w=02oCr&amp;content-id=amzn1.sym.d15aafde-9691-4d5f-85f2-056701d026bf&amp;pd_rd_r=a5acf9fb-889b-4bb9-892c-600fab736726&amp;s=industrial&amp;sp_csd=d2lkZ2V0TmFtZT1zcF9kZXRhaWw" xr:uid="{8C821030-AA7A-47F6-9D2F-AA9A1838301E}"/>
    <hyperlink ref="L25" r:id="rId12" display="https://www.amazon.fr/CODIRATO-Roulettes-Transfert-Universels-Transmission/dp/B09XDNCL2L/ref=sr_1_7?__mk_fr_FR=%C3%85M%C3%85%C5%BD%C3%95%C3%91&amp;crid=4OK0YLL437RG&amp;dib=eyJ2IjoiMSJ9.9wDDKuHsiPZPvOEGnhRMfNU7oJ8dQmAq-wFMgcS6SBcF3peqdahJMdC59LtpH8qsU9d_DYAiisjM4aM33wKGz44bfj5-FSSoJhTAkibisIqzAxI62xEvQrxFknMC2QY8owDED58AfdeeJVs7AxLKQJK4JWG3jzntc8zZfUK-MndM4GZ4toUJMuJM8w3zJJW98jdpawOmrOWIwEp0kxF8R4BmSFKl9fTcc7Qdga_wfXAY5ehG0IaCUdwfS1hp97Rk0amGpwWv1v3cx5AAMRaVCE2Y7Qv7K-slf7Z8I3_gmoc.38P_7cVdClwAE3aasWFZNlXPKGOFxiZwlRlxQBIHe-4&amp;dib_tag=se&amp;keywords=roulettes%2Bconvoyeur&amp;nsdOptOutParam=true&amp;qid=1732005926&amp;sprefix=roulettes%2Bconvoyeur%2Caps%2C75&amp;sr=8-7&amp;th=1" xr:uid="{019EA75A-B925-45CB-BE7C-32684B41AF23}"/>
    <hyperlink ref="L8" r:id="rId13" display="https://eu.robotshop.com/fr/products/moteur-12v-engrenage-en-metal-hp-751-encodeur-48-cpr?gad_source=1&amp;gclid=CjwKCAiAjeW6BhBAEiwAdKltMgZKYYdwgeXhnSpzUfJJcSqpbnk8GcHf80-XNQ7fL0BYOX0i9jNNbBoCMTgQAvD_BwE" xr:uid="{A1DEFD9F-E0EA-4774-AEC8-1EDF6E689D7F}"/>
    <hyperlink ref="L23" r:id="rId14" display="https://www.amazon.fr/sourcing-map-Enti%C3%A8rement-Filet%C3%A9e-Droite/dp/B09LCT2KBY/ref=sr_1_3?__mk_fr_FR=%C3%85M%C3%85%C5%BD%C3%95%C3%91&amp;crid=25AV63Y82U0AF&amp;dib=eyJ2IjoiMSJ9.q0Yh7c_XTUlEgD9xKY6G0os2GJiAePhmLX3eujix43uNCjjNn7njSm7Oy4vrERJcek2LLbOBI4mJn60cxGtxLdjSnrM6xB2ZpIaM_MZiqtmEC7PISDCh07LvUUBu7jQmEceT3gtz8PMFAt4DbD3vv9IjfPKPlVk-6GxAIFvdm9WOnB5Khfg2LvxKUzadykzXW0WxtG3NF-F0qmU3ckmZ-HtfK8g_CGSrHnfHqfy1_QQ.oDUvsN32MUfVKt-G1LSQYbvRH9DgBGfcE6yy9iEBML8&amp;dib_tag=se&amp;keywords=Tiges+Filet%C3%A9es+M6+X+150+MM&amp;nsdOptOutParam=true&amp;qid=1734259560&amp;s=hi&amp;sprefix=tiges+filet%C3%A9es+m6+x+150+mm%2Cdiy%2C68&amp;sr=1-3" xr:uid="{23B6810A-BCAC-4522-9B79-6CDCE5447EF1}"/>
    <hyperlink ref="L12" r:id="rId15" display="https://www.amazon.fr/sourcing-map-aluminium-courroie-synchrone/dp/B0747D5VSG/ref=sr_1_3_mod_primary_new?__mk_fr_FR=%C3%85M%C3%85%C5%BD%C3%95%C3%91&amp;crid=O4X2Z3BVVX3A&amp;dib=eyJ2IjoiMSJ9.nHiPt-NaYW5u9oIAaNMeINA0gFFj97E1qZzvd9kquh3BktvK60jKeDssfYZI8PVPiBoN2rRbuMkoBfdGztCszueGOevjO8bLXbRbolLlhtx66wGP8XahfmkQQjeX7t8IgfrRk8EPQyC_1AmTDT564Qu8BCjIksRf72UwJvkN1L_0HwjcyRk1FyYtBQoQW6XtvlKY_ulI-O9LPYjKOtf_n1qgK2pIe4YzgYXVCs2iV6pPlwEBP9oadsd9QTy5TQqIB0VqW471bSeja-GEsFO9PSqAiBUt6V0_0EG1zfk_NGXx6rggUyuiOewzglyYJ7reaXqO7i-KVxiGh6MJ3KFFsd6jAgJq4k4tZl-tF8fMd39_p5_HwCB7pQ9AY2MeURYSL30T8PrqREk17vV54u14q_vZqGyeQ4yFuqCzzOZez030AnP2D6ay72XBHpycbWmY.fFcAhgr8XHRGTH61H25h3PA66RsreaI59pOLQQmByPo&amp;dib_tag=se&amp;keywords=Poulie+de+distribution+en+aluminium+al%C3%A9sage+de+4mm&amp;nsdOptOutParam=true&amp;qid=1734281814&amp;sbo=RZvfv%2F%2FHxDF%2BO5021pAnSA%3D%3D&amp;sprefix=poulie+de+distribution+en+aluminium+al%C3%A9sage+de+4mm%2Caps%2C72&amp;sr=8-3" xr:uid="{B85B21E2-0E81-4DC7-B1EE-F69B2B06930E}"/>
    <hyperlink ref="L29" r:id="rId16" display="https://www.em-distribution.fr/capteur-inductif-de-proximite/5280-capteur-inductif-m30-24vdc-pnp-15mm-m12-imo.html" xr:uid="{0FFD4B84-E0FD-475F-8B76-9D708E328CDD}"/>
    <hyperlink ref="L30" r:id="rId17" display="https://www.gotronic.fr/art-module-de-detection-us-hc-sr04-20912.htm" xr:uid="{8BC09CAF-83AE-4A3C-810C-69E7D28CC428}"/>
    <hyperlink ref="L27" r:id="rId18" display="https://www.abltransfo.com/produit/transfo-12v/" xr:uid="{CC459959-34E6-4517-BFA1-8B4B3025476B}"/>
    <hyperlink ref="L5" r:id="rId19" display="https://www.leroymerlin.fr/produits/menuiserie/panneau-planche-et-materiaux-bois/panneau-bois-agglomere-mdf/panneau-mdf/panneau-hdf-800-x-400-x-3-mm-1-face-lisse-1-face-non-lisse-fsc-mixte-70-88105328.html?Megaboost&amp;at_medium=Sea-Paid&amp;at_campaign=MT-02-MENUISERIE-PMAX-SHP-PLA-Tier2-3P&amp;at_source=google&amp;at_market=M3&amp;at_section=R2&amp;at_campaign_id=20490834385&amp;at_campaign_type=PMAX&amp;at_campaign_sub_type=PLA&amp;at_account=FIL-ROUGE-SHOPPING&amp;at_account_id=921-620-5076&amp;gad_source=1&amp;gclid=CjwKCAiAmfq6BhAsEiwAX1jsZ-te7tJrvAPXK01jRCUQoXtoj4rgqxuRXzwWWbwZH6WgdZRb8ZYmPhoC5aUQAvD_BwE&amp;gclsrc=aw.ds" xr:uid="{47BF7043-BD91-4EF8-A977-BDE6C31DBF4E}"/>
    <hyperlink ref="L6" r:id="rId20" location="/97-epaisseur_en_mm-1_mm/152-longueur_en_cm-150_cm/154-largeur_en_cm-50_cm/158-dimension_de_la_plaque-standard" xr:uid="{E3379E54-D842-44DF-A274-67BFE6279F26}"/>
    <hyperlink ref="L9" r:id="rId21" location="/338-longueur_de_coupe_en_mm-aucune/33-diam%C3%A8tre-30mm" display="https://metal-mesure.com/barres-en-alu/49-barre-ronde-en-alu-sur-mesure.html - /338-longueur_de_coupe_en_mm-aucune/33-diam%C3%A8tre-30mm" xr:uid="{B85FC33D-3AB3-4285-B3B5-1F72FDD714E7}"/>
    <hyperlink ref="L38" r:id="rId22" display="https://www.amazon.fr/dp/B0D9JWVW2Y/ref=sspa_dk_detail_1?pd_rd_i=B0D9JWR25L&amp;pd_rd_w=FR1OC&amp;content-id=amzn1.sym.2295e42d-cd2a-4ee8-906d-272916f85e0f&amp;pf_rd_p=2295e42d-cd2a-4ee8-906d-272916f85e0f&amp;pf_rd_r=A3MPA9STVSR9QJYMSS89&amp;pd_rd_wg=j87Jp&amp;pd_rd_r=ac12e2b4-09de-413d-9acc-3b70ce5e10af&amp;s=industrial&amp;sp_csd=d2lkZ2V0TmFtZT1zcF9kZXRhaWwy&amp;th=1" xr:uid="{414EE76F-E2EF-4C74-A6B8-1D7C3BBF3D62}"/>
    <hyperlink ref="L39" r:id="rId23" location="TCHC10/020A2EF" display="https://www.bricovis.fr/produit-vis-a-tete-cylindrique-hexagonale-creuse-inox-a2-filetage-total-din-912-tchca2ef/ - TCHC10/020A2EF" xr:uid="{18839874-A560-4F29-B09D-E0D6F6C644D1}"/>
    <hyperlink ref="L40" r:id="rId24" location="TCHC08/020A2EF" display="https://www.bricovis.fr/produit-vis-a-tete-cylindrique-hexagonale-creuse-inox-a2-filetage-total-din-912-tchca2ef/ - TCHC08/020A2EF" xr:uid="{3D84BAC5-FDA5-4BC1-A65A-747D1A615D20}"/>
    <hyperlink ref="L41" r:id="rId25" display="https://www.bricovis.fr/produit-vis-a-tete-bombee-hexagonale-creuse-inox-a2-iso-7380-tbhca2/" xr:uid="{5CB739C4-5A5D-481C-887F-8D5F7EF94431}"/>
    <hyperlink ref="L42" r:id="rId26" location="ECRHU10A2" display="https://www.bricovis.fr/produit-ecrou-hu-inox-a2-din-934-ecrhua2/ - ECRHU10A2" xr:uid="{A872255F-DB8D-4B9D-8D2D-49D7839366A7}"/>
    <hyperlink ref="L43" r:id="rId27" location="ECRHU08A2" display="https://www.bricovis.fr/produit-ecrou-hu-inox-a2-din-934-ecrhua2/ - ECRHU08A2" xr:uid="{10370413-C6DA-403D-A8CD-B5255E6F4613}"/>
    <hyperlink ref="L45" r:id="rId28" location="ECRHU03A2" display="https://www.bricovis.fr/produit-ecrou-hu-inox-a2-din-934-ecrhua2/ - ECRHU03A2" xr:uid="{1F64B287-819E-47CB-A070-1CEEEBDC000B}"/>
    <hyperlink ref="L49" r:id="rId29" location="RONM03A2" display="https://www.bricovis.fr/produit-rondelle-m-inox-a2-nfe-25513-ronma2/ - RONM03A2" xr:uid="{02D92B51-DA9C-4B03-9DB1-C06F0D0BBE58}"/>
    <hyperlink ref="L46" r:id="rId30" location="RONM10A2" display="https://www.bricovis.fr/produit-rondelle-m-inox-a2-nfe-25513-ronma2/ - RONM10A2" xr:uid="{65C537DE-7B3C-4365-BE1B-224E012C47E1}"/>
    <hyperlink ref="L47" r:id="rId31" location="RONM08A2" display="https://www.bricovis.fr/produit-rondelle-m-inox-a2-nfe-25513-ronma2/ - RONM08A2" xr:uid="{709FA65C-1948-4354-8158-3A8FEEA37C5A}"/>
    <hyperlink ref="L34" r:id="rId32" display="https://www.robot-maker.com/shop/drivers-d-actionneurs/56-driver-moteurs-cc-l9110-56.html" xr:uid="{97C06DF3-980C-4F68-83EE-B0AB2C05597A}"/>
    <hyperlink ref="L44" r:id="rId33" location="ECRHU06A2" display="https://www.bricovis.fr/produit-ecrou-hu-inox-a2-din-934-ecrhua2/ - ECRHU06A2" xr:uid="{D12D17D6-CDFC-49A2-B0E8-C09E08368A78}"/>
    <hyperlink ref="L48" r:id="rId34" location="RONM06A2" display="https://www.bricovis.fr/produit-rondelle-m-inox-a2-nfe-25513-ronma2/ - RONM06A2" xr:uid="{F1D9B1F5-2F09-48D1-B012-67615310146C}"/>
  </hyperlinks>
  <pageMargins left="0.7" right="0.7" top="0.75" bottom="0.75" header="0.3" footer="0.3"/>
  <pageSetup paperSize="9" orientation="portrait" r:id="rId35"/>
  <tableParts count="1">
    <tablePart r:id="rId3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BF0D92-72A7-4BB3-B7D6-41536D19E5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I57:J57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F10569C82B474EAC018CECC324176F" ma:contentTypeVersion="8" ma:contentTypeDescription="Crée un document." ma:contentTypeScope="" ma:versionID="dcbd666b45db2f97be979312baaf680f">
  <xsd:schema xmlns:xsd="http://www.w3.org/2001/XMLSchema" xmlns:xs="http://www.w3.org/2001/XMLSchema" xmlns:p="http://schemas.microsoft.com/office/2006/metadata/properties" xmlns:ns3="5a4411f2-b81a-4ac1-b20e-64edb10c55ab" xmlns:ns4="695719fd-24dc-43a2-abd8-e48d431f818b" targetNamespace="http://schemas.microsoft.com/office/2006/metadata/properties" ma:root="true" ma:fieldsID="13de40ce0aec660c489da08a9b0c1109" ns3:_="" ns4:_="">
    <xsd:import namespace="5a4411f2-b81a-4ac1-b20e-64edb10c55ab"/>
    <xsd:import namespace="695719fd-24dc-43a2-abd8-e48d431f81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4411f2-b81a-4ac1-b20e-64edb10c55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719fd-24dc-43a2-abd8-e48d431f818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4411f2-b81a-4ac1-b20e-64edb10c55a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7D4FB2-2652-440C-B3A2-48524C42D2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4411f2-b81a-4ac1-b20e-64edb10c55ab"/>
    <ds:schemaRef ds:uri="695719fd-24dc-43a2-abd8-e48d431f81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D83A28-4473-409D-BA38-0F34F510A8FE}">
  <ds:schemaRefs>
    <ds:schemaRef ds:uri="http://schemas.microsoft.com/office/2006/metadata/properties"/>
    <ds:schemaRef ds:uri="5a4411f2-b81a-4ac1-b20e-64edb10c55ab"/>
    <ds:schemaRef ds:uri="http://schemas.microsoft.com/office/infopath/2007/PartnerControls"/>
    <ds:schemaRef ds:uri="http://purl.org/dc/dcmitype/"/>
    <ds:schemaRef ds:uri="695719fd-24dc-43a2-abd8-e48d431f818b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520EBBF-ECD2-4313-8B71-186681C054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Solution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Adrien Carlier</dc:creator>
  <cp:keywords/>
  <dc:description/>
  <cp:lastModifiedBy>Clement Madorre</cp:lastModifiedBy>
  <cp:revision/>
  <dcterms:created xsi:type="dcterms:W3CDTF">2024-10-25T15:44:42Z</dcterms:created>
  <dcterms:modified xsi:type="dcterms:W3CDTF">2025-06-23T16:29:32Z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0x010100BDF10569C82B474EAC018CECC324176F</vt:lpwstr>
  </property>
</Properties>
</file>